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ersonal\Financial Accounts Trading Etc\"/>
    </mc:Choice>
  </mc:AlternateContent>
  <xr:revisionPtr revIDLastSave="0" documentId="13_ncr:1_{A5FFC3E9-9389-49EC-B7AC-9112FC5D16C0}" xr6:coauthVersionLast="47" xr6:coauthVersionMax="47" xr10:uidLastSave="{00000000-0000-0000-0000-000000000000}"/>
  <bookViews>
    <workbookView xWindow="-98" yWindow="-98" windowWidth="21795" windowHeight="12975" xr2:uid="{F25C29D6-FEA4-406D-91FC-6CA024EBB7CF}"/>
  </bookViews>
  <sheets>
    <sheet name="Equi_Pos" sheetId="13" r:id="rId1"/>
  </sheets>
  <definedNames>
    <definedName name="_xlnm._FilterDatabase" localSheetId="0" hidden="1">Equi_Pos!$B$3:$AH$139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6" i="13" l="1"/>
  <c r="AE36" i="13"/>
  <c r="AB36" i="13"/>
  <c r="AA36" i="13"/>
  <c r="AD36" i="13" s="1"/>
  <c r="O36" i="13"/>
  <c r="P36" i="13" s="1"/>
  <c r="D36" i="13"/>
  <c r="AG63" i="13"/>
  <c r="AE63" i="13"/>
  <c r="AB63" i="13"/>
  <c r="AA63" i="13"/>
  <c r="AC63" i="13" s="1"/>
  <c r="O63" i="13"/>
  <c r="P63" i="13" s="1"/>
  <c r="D63" i="13"/>
  <c r="AG60" i="13"/>
  <c r="AE60" i="13"/>
  <c r="AB60" i="13"/>
  <c r="AA60" i="13"/>
  <c r="AD60" i="13" s="1"/>
  <c r="P60" i="13"/>
  <c r="D60" i="13"/>
  <c r="X89" i="13"/>
  <c r="Y89" i="13" s="1"/>
  <c r="AF36" i="13" l="1"/>
  <c r="AH36" i="13"/>
  <c r="AH60" i="13"/>
  <c r="AC36" i="13"/>
  <c r="AF63" i="13"/>
  <c r="AD63" i="13"/>
  <c r="AH63" i="13" s="1"/>
  <c r="AF60" i="13"/>
  <c r="AC60" i="13"/>
  <c r="AG33" i="13"/>
  <c r="AE33" i="13"/>
  <c r="AB33" i="13"/>
  <c r="AA33" i="13"/>
  <c r="O33" i="13"/>
  <c r="P33" i="13" s="1"/>
  <c r="X137" i="13"/>
  <c r="Y137" i="13" s="1"/>
  <c r="X135" i="13"/>
  <c r="Y135" i="13" s="1"/>
  <c r="X134" i="13"/>
  <c r="Y134" i="13" s="1"/>
  <c r="X133" i="13"/>
  <c r="Y133" i="13" s="1"/>
  <c r="X132" i="13"/>
  <c r="Y132" i="13" s="1"/>
  <c r="X130" i="13"/>
  <c r="Y130" i="13" s="1"/>
  <c r="X128" i="13"/>
  <c r="Y128" i="13" s="1"/>
  <c r="X127" i="13"/>
  <c r="Y127" i="13" s="1"/>
  <c r="X126" i="13"/>
  <c r="Y126" i="13" s="1"/>
  <c r="X125" i="13"/>
  <c r="Y125" i="13" s="1"/>
  <c r="X124" i="13"/>
  <c r="Y124" i="13" s="1"/>
  <c r="X122" i="13"/>
  <c r="Y122" i="13" s="1"/>
  <c r="X120" i="13"/>
  <c r="Y120" i="13" s="1"/>
  <c r="X119" i="13"/>
  <c r="Y119" i="13" s="1"/>
  <c r="X118" i="13"/>
  <c r="Y118" i="13" s="1"/>
  <c r="X114" i="13"/>
  <c r="Y114" i="13" s="1"/>
  <c r="X113" i="13"/>
  <c r="Y113" i="13" s="1"/>
  <c r="X112" i="13"/>
  <c r="Y112" i="13" s="1"/>
  <c r="X111" i="13"/>
  <c r="Y111" i="13" s="1"/>
  <c r="X110" i="13"/>
  <c r="Y110" i="13" s="1"/>
  <c r="X109" i="13"/>
  <c r="Y109" i="13" s="1"/>
  <c r="X108" i="13"/>
  <c r="Y108" i="13" s="1"/>
  <c r="X107" i="13"/>
  <c r="Y107" i="13" s="1"/>
  <c r="X106" i="13"/>
  <c r="Y106" i="13" s="1"/>
  <c r="X105" i="13"/>
  <c r="Y105" i="13" s="1"/>
  <c r="X104" i="13"/>
  <c r="Y104" i="13" s="1"/>
  <c r="X103" i="13"/>
  <c r="Y103" i="13" s="1"/>
  <c r="X102" i="13"/>
  <c r="Y102" i="13" s="1"/>
  <c r="X101" i="13"/>
  <c r="Y101" i="13" s="1"/>
  <c r="X100" i="13"/>
  <c r="Y100" i="13" s="1"/>
  <c r="X99" i="13"/>
  <c r="Y99" i="13" s="1"/>
  <c r="X98" i="13"/>
  <c r="Y98" i="13" s="1"/>
  <c r="X97" i="13"/>
  <c r="Y97" i="13" s="1"/>
  <c r="X96" i="13"/>
  <c r="Y96" i="13" s="1"/>
  <c r="X95" i="13"/>
  <c r="Y95" i="13" s="1"/>
  <c r="X94" i="13"/>
  <c r="Y94" i="13" s="1"/>
  <c r="X93" i="13"/>
  <c r="Y93" i="13" s="1"/>
  <c r="X92" i="13"/>
  <c r="Y92" i="13" s="1"/>
  <c r="X90" i="13"/>
  <c r="Y90" i="13" s="1"/>
  <c r="V91" i="13"/>
  <c r="X91" i="13" s="1"/>
  <c r="Y91" i="13" s="1"/>
  <c r="AG35" i="13"/>
  <c r="AE35" i="13"/>
  <c r="AF35" i="13" s="1"/>
  <c r="AB35" i="13"/>
  <c r="AA35" i="13"/>
  <c r="O35" i="13"/>
  <c r="P35" i="13" s="1"/>
  <c r="D35" i="13"/>
  <c r="AG69" i="13"/>
  <c r="AE69" i="13"/>
  <c r="AB69" i="13"/>
  <c r="AA69" i="13"/>
  <c r="O69" i="13"/>
  <c r="P69" i="13" s="1"/>
  <c r="D69" i="13"/>
  <c r="AG59" i="13"/>
  <c r="AE59" i="13"/>
  <c r="AB59" i="13"/>
  <c r="AA59" i="13"/>
  <c r="P59" i="13"/>
  <c r="D59" i="13"/>
  <c r="M13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94" i="13"/>
  <c r="D68" i="13"/>
  <c r="D67" i="13"/>
  <c r="D65" i="13"/>
  <c r="D64" i="13"/>
  <c r="D89" i="13"/>
  <c r="D62" i="13"/>
  <c r="D61" i="13"/>
  <c r="D95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91" i="13"/>
  <c r="D43" i="13"/>
  <c r="D42" i="13"/>
  <c r="D41" i="13"/>
  <c r="D40" i="13"/>
  <c r="D39" i="13"/>
  <c r="D38" i="13"/>
  <c r="D37" i="13"/>
  <c r="D34" i="13"/>
  <c r="D93" i="13"/>
  <c r="D92" i="13"/>
  <c r="D32" i="13"/>
  <c r="D30" i="13"/>
  <c r="D29" i="13"/>
  <c r="D31" i="13"/>
  <c r="D28" i="13"/>
  <c r="D27" i="13"/>
  <c r="D26" i="13"/>
  <c r="D25" i="13"/>
  <c r="D24" i="13"/>
  <c r="D23" i="13"/>
  <c r="D21" i="13"/>
  <c r="D20" i="13"/>
  <c r="D19" i="13"/>
  <c r="D18" i="13"/>
  <c r="D15" i="13"/>
  <c r="D90" i="13"/>
  <c r="D13" i="13"/>
  <c r="D12" i="13"/>
  <c r="D10" i="13"/>
  <c r="D9" i="13"/>
  <c r="D8" i="13"/>
  <c r="D7" i="13"/>
  <c r="D6" i="13"/>
  <c r="D5" i="13"/>
  <c r="D4" i="13"/>
  <c r="AF33" i="13" l="1"/>
  <c r="AD33" i="13"/>
  <c r="AH33" i="13" s="1"/>
  <c r="AC33" i="13"/>
  <c r="W91" i="13"/>
  <c r="AD35" i="13"/>
  <c r="AH35" i="13" s="1"/>
  <c r="AC35" i="13"/>
  <c r="AF69" i="13"/>
  <c r="AD69" i="13"/>
  <c r="AH69" i="13" s="1"/>
  <c r="AC69" i="13"/>
  <c r="AC59" i="13"/>
  <c r="AD59" i="13"/>
  <c r="AH59" i="13" s="1"/>
  <c r="AF59" i="13"/>
  <c r="AG78" i="13"/>
  <c r="AE78" i="13"/>
  <c r="AB78" i="13"/>
  <c r="AA78" i="13"/>
  <c r="AD78" i="13" s="1"/>
  <c r="O78" i="13"/>
  <c r="P78" i="13" s="1"/>
  <c r="AH78" i="13" l="1"/>
  <c r="AF78" i="13"/>
  <c r="AC78" i="13"/>
  <c r="AJ47" i="13"/>
  <c r="AG7" i="13" l="1"/>
  <c r="AE7" i="13"/>
  <c r="AB7" i="13"/>
  <c r="AA7" i="13"/>
  <c r="AD7" i="13" s="1"/>
  <c r="O7" i="13"/>
  <c r="P7" i="13" s="1"/>
  <c r="AG6" i="13"/>
  <c r="AE6" i="13"/>
  <c r="AB6" i="13"/>
  <c r="AA6" i="13"/>
  <c r="AC6" i="13" s="1"/>
  <c r="O6" i="13"/>
  <c r="P6" i="13" s="1"/>
  <c r="AG23" i="13"/>
  <c r="AE23" i="13"/>
  <c r="AB23" i="13"/>
  <c r="AA23" i="13"/>
  <c r="AD23" i="13" s="1"/>
  <c r="O23" i="13"/>
  <c r="P23" i="13" s="1"/>
  <c r="AC7" i="13" l="1"/>
  <c r="AD6" i="13"/>
  <c r="AH6" i="13" s="1"/>
  <c r="AF7" i="13"/>
  <c r="AF6" i="13"/>
  <c r="AH7" i="13"/>
  <c r="AF23" i="13"/>
  <c r="AH23" i="13"/>
  <c r="AC23" i="13"/>
  <c r="Q24" i="13"/>
  <c r="AG24" i="13" s="1"/>
  <c r="AB24" i="13"/>
  <c r="AA24" i="13"/>
  <c r="O24" i="13"/>
  <c r="P24" i="13" s="1"/>
  <c r="AB10" i="13"/>
  <c r="O11" i="13"/>
  <c r="P11" i="13" s="1"/>
  <c r="AA11" i="13"/>
  <c r="AC11" i="13" s="1"/>
  <c r="AB11" i="13"/>
  <c r="AE11" i="13"/>
  <c r="AG11" i="13"/>
  <c r="T31" i="13"/>
  <c r="Q31" i="13"/>
  <c r="AB31" i="13"/>
  <c r="AA31" i="13"/>
  <c r="P31" i="13"/>
  <c r="AG72" i="13"/>
  <c r="AE72" i="13"/>
  <c r="AB72" i="13"/>
  <c r="AA72" i="13"/>
  <c r="AD72" i="13" s="1"/>
  <c r="O72" i="13"/>
  <c r="P72" i="13" s="1"/>
  <c r="AB99" i="13"/>
  <c r="AB81" i="13"/>
  <c r="AB79" i="13"/>
  <c r="AB77" i="13"/>
  <c r="AB76" i="13"/>
  <c r="AB75" i="13"/>
  <c r="AB74" i="13"/>
  <c r="AB73" i="13"/>
  <c r="AB71" i="13"/>
  <c r="AB70" i="13"/>
  <c r="AB94" i="13"/>
  <c r="AB68" i="13"/>
  <c r="AB67" i="13"/>
  <c r="AB66" i="13"/>
  <c r="AB65" i="13"/>
  <c r="AB64" i="13"/>
  <c r="AB89" i="13"/>
  <c r="AB62" i="13"/>
  <c r="AB61" i="13"/>
  <c r="AB95" i="13"/>
  <c r="AB58" i="13"/>
  <c r="AB57" i="13"/>
  <c r="AB56" i="13"/>
  <c r="AB55" i="13"/>
  <c r="AB54" i="13"/>
  <c r="AB53" i="13"/>
  <c r="AB52" i="13"/>
  <c r="AB51" i="13"/>
  <c r="AB49" i="13"/>
  <c r="AB48" i="13"/>
  <c r="AB98" i="13"/>
  <c r="AB97" i="13"/>
  <c r="AB96" i="13"/>
  <c r="AB47" i="13"/>
  <c r="AB46" i="13"/>
  <c r="AB45" i="13"/>
  <c r="AB44" i="13"/>
  <c r="AB91" i="13"/>
  <c r="AB43" i="13"/>
  <c r="AB42" i="13"/>
  <c r="AB41" i="13"/>
  <c r="AB40" i="13"/>
  <c r="AB39" i="13"/>
  <c r="AB38" i="13"/>
  <c r="AB37" i="13"/>
  <c r="AB34" i="13"/>
  <c r="AB93" i="13"/>
  <c r="AB92" i="13"/>
  <c r="AB32" i="13"/>
  <c r="AB30" i="13"/>
  <c r="AB29" i="13"/>
  <c r="AB28" i="13"/>
  <c r="AB27" i="13"/>
  <c r="AB26" i="13"/>
  <c r="AB25" i="13"/>
  <c r="AB22" i="13"/>
  <c r="AB21" i="13"/>
  <c r="AB20" i="13"/>
  <c r="AB19" i="13"/>
  <c r="AB18" i="13"/>
  <c r="AB17" i="13"/>
  <c r="AB16" i="13"/>
  <c r="AB15" i="13"/>
  <c r="AB90" i="13"/>
  <c r="AB14" i="13"/>
  <c r="AB13" i="13"/>
  <c r="AB12" i="13"/>
  <c r="AB9" i="13"/>
  <c r="AB8" i="13"/>
  <c r="AB5" i="13"/>
  <c r="AB4" i="13"/>
  <c r="AB80" i="13"/>
  <c r="AB50" i="13"/>
  <c r="AF11" i="13" l="1"/>
  <c r="AD11" i="13"/>
  <c r="AH11" i="13" s="1"/>
  <c r="AD24" i="13"/>
  <c r="AH24" i="13" s="1"/>
  <c r="AE24" i="13"/>
  <c r="AF24" i="13" s="1"/>
  <c r="AC24" i="13"/>
  <c r="AG31" i="13"/>
  <c r="S31" i="13"/>
  <c r="AD31" i="13"/>
  <c r="AH31" i="13" s="1"/>
  <c r="AE31" i="13"/>
  <c r="AF31" i="13" s="1"/>
  <c r="AC31" i="13"/>
  <c r="AH72" i="13"/>
  <c r="AC72" i="13"/>
  <c r="AF72" i="13"/>
  <c r="AG15" i="13"/>
  <c r="AE15" i="13"/>
  <c r="AA15" i="13"/>
  <c r="AD15" i="13" s="1"/>
  <c r="P15" i="13"/>
  <c r="AF15" i="13" l="1"/>
  <c r="AH15" i="13"/>
  <c r="AC15" i="13"/>
  <c r="AG14" i="13"/>
  <c r="AE14" i="13"/>
  <c r="AA14" i="13"/>
  <c r="AD14" i="13" s="1"/>
  <c r="P14" i="13"/>
  <c r="AG80" i="13"/>
  <c r="AE80" i="13"/>
  <c r="AA80" i="13"/>
  <c r="AD80" i="13" s="1"/>
  <c r="O80" i="13"/>
  <c r="P80" i="13" s="1"/>
  <c r="AG89" i="13"/>
  <c r="AE89" i="13"/>
  <c r="AA89" i="13"/>
  <c r="AC89" i="13" s="1"/>
  <c r="O89" i="13"/>
  <c r="P89" i="13" s="1"/>
  <c r="AG42" i="13"/>
  <c r="AE42" i="13"/>
  <c r="AA42" i="13"/>
  <c r="AD42" i="13" s="1"/>
  <c r="O42" i="13"/>
  <c r="P42" i="13" s="1"/>
  <c r="O109" i="13"/>
  <c r="P109" i="13" s="1"/>
  <c r="AH14" i="13" l="1"/>
  <c r="AF14" i="13"/>
  <c r="AC14" i="13"/>
  <c r="AC80" i="13"/>
  <c r="AF80" i="13"/>
  <c r="AH80" i="13"/>
  <c r="AF89" i="13"/>
  <c r="AD89" i="13"/>
  <c r="AH89" i="13" s="1"/>
  <c r="AH42" i="13"/>
  <c r="AF42" i="13"/>
  <c r="AC42" i="13"/>
  <c r="AG27" i="13" l="1"/>
  <c r="AE27" i="13"/>
  <c r="AA27" i="13"/>
  <c r="AD27" i="13" s="1"/>
  <c r="O27" i="13"/>
  <c r="P27" i="13" s="1"/>
  <c r="AG105" i="13"/>
  <c r="AE105" i="13"/>
  <c r="AA105" i="13"/>
  <c r="AC105" i="13" s="1"/>
  <c r="O105" i="13"/>
  <c r="P105" i="13" s="1"/>
  <c r="AC27" i="13" l="1"/>
  <c r="AF27" i="13"/>
  <c r="AH27" i="13"/>
  <c r="AF105" i="13"/>
  <c r="AD105" i="13"/>
  <c r="AH105" i="13" s="1"/>
  <c r="AG111" i="13" l="1"/>
  <c r="AF111" i="13"/>
  <c r="AE111" i="13"/>
  <c r="AD111" i="13"/>
  <c r="AC111" i="13"/>
  <c r="AG12" i="13"/>
  <c r="AF12" i="13"/>
  <c r="AE12" i="13"/>
  <c r="AD12" i="13"/>
  <c r="AC12" i="13"/>
  <c r="AA12" i="13"/>
  <c r="AG112" i="13"/>
  <c r="AF112" i="13"/>
  <c r="AE112" i="13"/>
  <c r="AD112" i="13"/>
  <c r="AC112" i="13"/>
  <c r="AG90" i="13" l="1"/>
  <c r="AE90" i="13"/>
  <c r="AA90" i="13"/>
  <c r="AD90" i="13" s="1"/>
  <c r="P90" i="13"/>
  <c r="AG38" i="13"/>
  <c r="AE38" i="13"/>
  <c r="AA38" i="13"/>
  <c r="AD38" i="13" s="1"/>
  <c r="O38" i="13"/>
  <c r="P38" i="13" s="1"/>
  <c r="AC38" i="13" l="1"/>
  <c r="AH90" i="13"/>
  <c r="AF90" i="13"/>
  <c r="AC90" i="13"/>
  <c r="AH38" i="13"/>
  <c r="AF38" i="13"/>
  <c r="AG58" i="13"/>
  <c r="AE58" i="13"/>
  <c r="AA58" i="13"/>
  <c r="AD58" i="13" s="1"/>
  <c r="P58" i="13"/>
  <c r="O66" i="13"/>
  <c r="P66" i="13" s="1"/>
  <c r="AG66" i="13"/>
  <c r="AE66" i="13"/>
  <c r="AA66" i="13"/>
  <c r="AC66" i="13" s="1"/>
  <c r="AH58" i="13" l="1"/>
  <c r="AF58" i="13"/>
  <c r="AC58" i="13"/>
  <c r="AD66" i="13"/>
  <c r="AH66" i="13" s="1"/>
  <c r="AF66" i="13"/>
  <c r="AG109" i="13"/>
  <c r="AE109" i="13"/>
  <c r="AA109" i="13"/>
  <c r="AG19" i="13"/>
  <c r="AE19" i="13"/>
  <c r="AA19" i="13"/>
  <c r="AD19" i="13" s="1"/>
  <c r="P19" i="13"/>
  <c r="AG29" i="13"/>
  <c r="AE29" i="13"/>
  <c r="AA29" i="13"/>
  <c r="AD29" i="13" s="1"/>
  <c r="O29" i="13"/>
  <c r="P29" i="13" s="1"/>
  <c r="AG114" i="13"/>
  <c r="AF114" i="13"/>
  <c r="AE114" i="13"/>
  <c r="AD114" i="13"/>
  <c r="AC114" i="13"/>
  <c r="AA114" i="13"/>
  <c r="O114" i="13"/>
  <c r="P114" i="13" s="1"/>
  <c r="AA111" i="13"/>
  <c r="P111" i="13"/>
  <c r="AH111" i="13" s="1"/>
  <c r="AG64" i="13"/>
  <c r="AE64" i="13"/>
  <c r="AA64" i="13"/>
  <c r="AD64" i="13" s="1"/>
  <c r="O64" i="13"/>
  <c r="P64" i="13" s="1"/>
  <c r="AG28" i="13"/>
  <c r="AE28" i="13"/>
  <c r="AA28" i="13"/>
  <c r="AC28" i="13" s="1"/>
  <c r="P28" i="13"/>
  <c r="W115" i="13"/>
  <c r="AG115" i="13"/>
  <c r="R115" i="13"/>
  <c r="X115" i="13" s="1"/>
  <c r="Y115" i="13" s="1"/>
  <c r="AG110" i="13"/>
  <c r="AE110" i="13"/>
  <c r="AA110" i="13"/>
  <c r="O110" i="13"/>
  <c r="P110" i="13" s="1"/>
  <c r="W131" i="13"/>
  <c r="W119" i="13"/>
  <c r="V116" i="13"/>
  <c r="X116" i="13" s="1"/>
  <c r="Y116" i="13" s="1"/>
  <c r="AC109" i="13" l="1"/>
  <c r="AC110" i="13"/>
  <c r="AF109" i="13"/>
  <c r="AD109" i="13"/>
  <c r="AH109" i="13" s="1"/>
  <c r="AH19" i="13"/>
  <c r="AF19" i="13"/>
  <c r="AC19" i="13"/>
  <c r="AH29" i="13"/>
  <c r="AC29" i="13"/>
  <c r="AF29" i="13"/>
  <c r="AH114" i="13"/>
  <c r="AH64" i="13"/>
  <c r="AF64" i="13"/>
  <c r="AC64" i="13"/>
  <c r="AF28" i="13"/>
  <c r="AD28" i="13"/>
  <c r="AH28" i="13" s="1"/>
  <c r="AD110" i="13"/>
  <c r="AH110" i="13" s="1"/>
  <c r="AF110" i="13"/>
  <c r="P45" i="13"/>
  <c r="AG45" i="13"/>
  <c r="AE45" i="13"/>
  <c r="AA45" i="13"/>
  <c r="AD45" i="13" s="1"/>
  <c r="P95" i="13"/>
  <c r="AG95" i="13"/>
  <c r="AE95" i="13"/>
  <c r="AA95" i="13"/>
  <c r="AD95" i="13" s="1"/>
  <c r="AF45" i="13" l="1"/>
  <c r="AC45" i="13"/>
  <c r="AH95" i="13"/>
  <c r="AH45" i="13"/>
  <c r="AF95" i="13"/>
  <c r="AC95" i="13"/>
  <c r="P62" i="13" l="1"/>
  <c r="AG62" i="13"/>
  <c r="AE62" i="13"/>
  <c r="AA62" i="13"/>
  <c r="AD62" i="13" s="1"/>
  <c r="AE115" i="13"/>
  <c r="AA115" i="13"/>
  <c r="O115" i="13"/>
  <c r="P115" i="13" s="1"/>
  <c r="AG73" i="13"/>
  <c r="AE73" i="13"/>
  <c r="AA73" i="13"/>
  <c r="AD73" i="13" s="1"/>
  <c r="O73" i="13"/>
  <c r="P73" i="13" s="1"/>
  <c r="O116" i="13"/>
  <c r="O43" i="13"/>
  <c r="AG98" i="13"/>
  <c r="AE98" i="13"/>
  <c r="AA98" i="13"/>
  <c r="AC98" i="13" s="1"/>
  <c r="O98" i="13"/>
  <c r="P98" i="13" s="1"/>
  <c r="AA112" i="13"/>
  <c r="O112" i="13"/>
  <c r="P112" i="13" s="1"/>
  <c r="AH112" i="13" s="1"/>
  <c r="V117" i="13"/>
  <c r="X117" i="13" s="1"/>
  <c r="Y117" i="13" s="1"/>
  <c r="AG117" i="13"/>
  <c r="AE117" i="13"/>
  <c r="AF117" i="13" s="1"/>
  <c r="AC117" i="13"/>
  <c r="AA117" i="13"/>
  <c r="AD117" i="13" s="1"/>
  <c r="O117" i="13"/>
  <c r="P117" i="13" s="1"/>
  <c r="AG91" i="13"/>
  <c r="AE91" i="13"/>
  <c r="AA91" i="13"/>
  <c r="AD91" i="13" s="1"/>
  <c r="O91" i="13"/>
  <c r="P91" i="13" s="1"/>
  <c r="O119" i="13"/>
  <c r="O118" i="13"/>
  <c r="V121" i="13"/>
  <c r="X121" i="13" s="1"/>
  <c r="Y121" i="13" s="1"/>
  <c r="AC115" i="13" l="1"/>
  <c r="W117" i="13"/>
  <c r="AH62" i="13"/>
  <c r="AC62" i="13"/>
  <c r="AF62" i="13"/>
  <c r="AF115" i="13"/>
  <c r="AD115" i="13"/>
  <c r="AH115" i="13" s="1"/>
  <c r="AC73" i="13"/>
  <c r="AF73" i="13"/>
  <c r="AH73" i="13"/>
  <c r="AF98" i="13"/>
  <c r="AD98" i="13"/>
  <c r="AH98" i="13" s="1"/>
  <c r="AH117" i="13"/>
  <c r="AF91" i="13"/>
  <c r="AH91" i="13"/>
  <c r="AC91" i="13"/>
  <c r="P16" i="13"/>
  <c r="AG16" i="13"/>
  <c r="AE16" i="13"/>
  <c r="AA16" i="13"/>
  <c r="AE116" i="13"/>
  <c r="AA116" i="13"/>
  <c r="P116" i="13"/>
  <c r="AG116" i="13"/>
  <c r="V136" i="13"/>
  <c r="X136" i="13" s="1"/>
  <c r="Y136" i="13" s="1"/>
  <c r="R123" i="13"/>
  <c r="V123" i="13"/>
  <c r="X123" i="13" s="1"/>
  <c r="Y123" i="13" s="1"/>
  <c r="Q41" i="13"/>
  <c r="AG123" i="13"/>
  <c r="AA123" i="13"/>
  <c r="O123" i="13"/>
  <c r="P123" i="13" s="1"/>
  <c r="R139" i="13"/>
  <c r="V138" i="13"/>
  <c r="X138" i="13" s="1"/>
  <c r="Y138" i="13" s="1"/>
  <c r="V139" i="13"/>
  <c r="AG22" i="13"/>
  <c r="AE22" i="13"/>
  <c r="AA22" i="13"/>
  <c r="AD22" i="13" s="1"/>
  <c r="O22" i="13"/>
  <c r="P22" i="13" s="1"/>
  <c r="X139" i="13" l="1"/>
  <c r="Y139" i="13" s="1"/>
  <c r="AF16" i="13"/>
  <c r="AD16" i="13"/>
  <c r="AH16" i="13" s="1"/>
  <c r="AC16" i="13"/>
  <c r="AF116" i="13"/>
  <c r="AC116" i="13"/>
  <c r="AD116" i="13"/>
  <c r="AH116" i="13" s="1"/>
  <c r="AD123" i="13"/>
  <c r="AH123" i="13" s="1"/>
  <c r="AE123" i="13"/>
  <c r="AF123" i="13" s="1"/>
  <c r="AC123" i="13"/>
  <c r="AF22" i="13"/>
  <c r="AH22" i="13"/>
  <c r="AC22" i="13"/>
  <c r="AG30" i="13" l="1"/>
  <c r="AE30" i="13"/>
  <c r="AA30" i="13"/>
  <c r="AD30" i="13" s="1"/>
  <c r="O30" i="13"/>
  <c r="P30" i="13" s="1"/>
  <c r="R131" i="13"/>
  <c r="X131" i="13" s="1"/>
  <c r="Y131" i="13" s="1"/>
  <c r="P138" i="13"/>
  <c r="AG138" i="13"/>
  <c r="AE138" i="13"/>
  <c r="AA138" i="13"/>
  <c r="P131" i="13"/>
  <c r="AG131" i="13"/>
  <c r="AE131" i="13"/>
  <c r="AA131" i="13"/>
  <c r="AD131" i="13" s="1"/>
  <c r="AG21" i="13"/>
  <c r="AF21" i="13"/>
  <c r="AE21" i="13"/>
  <c r="AD21" i="13"/>
  <c r="AC21" i="13"/>
  <c r="AA21" i="13"/>
  <c r="O21" i="13"/>
  <c r="P21" i="13" s="1"/>
  <c r="AG20" i="13"/>
  <c r="AF20" i="13"/>
  <c r="AE20" i="13"/>
  <c r="AD20" i="13"/>
  <c r="AC20" i="13"/>
  <c r="AA20" i="13"/>
  <c r="O20" i="13"/>
  <c r="P20" i="13" s="1"/>
  <c r="AG128" i="13"/>
  <c r="AE128" i="13"/>
  <c r="AA128" i="13"/>
  <c r="AD128" i="13" s="1"/>
  <c r="O128" i="13"/>
  <c r="P128" i="13" s="1"/>
  <c r="AG97" i="13"/>
  <c r="AE97" i="13"/>
  <c r="AA97" i="13"/>
  <c r="AD97" i="13" s="1"/>
  <c r="O97" i="13"/>
  <c r="P97" i="13" s="1"/>
  <c r="AG61" i="13"/>
  <c r="AE61" i="13"/>
  <c r="AA61" i="13"/>
  <c r="AD61" i="13" s="1"/>
  <c r="O61" i="13"/>
  <c r="P61" i="13" s="1"/>
  <c r="AD138" i="13" l="1"/>
  <c r="AF138" i="13"/>
  <c r="AF30" i="13"/>
  <c r="AC30" i="13"/>
  <c r="AC138" i="13"/>
  <c r="AH131" i="13"/>
  <c r="AF131" i="13"/>
  <c r="AC131" i="13"/>
  <c r="AF128" i="13"/>
  <c r="AC128" i="13"/>
  <c r="AH97" i="13"/>
  <c r="AF97" i="13"/>
  <c r="AC97" i="13"/>
  <c r="AF61" i="13"/>
  <c r="AC61" i="13"/>
  <c r="P40" i="13"/>
  <c r="AA40" i="13"/>
  <c r="AC40" i="13" s="1"/>
  <c r="AG40" i="13"/>
  <c r="V129" i="13"/>
  <c r="X129" i="13" s="1"/>
  <c r="Y129" i="13" s="1"/>
  <c r="AG47" i="13"/>
  <c r="AE47" i="13"/>
  <c r="AD47" i="13"/>
  <c r="AC47" i="13"/>
  <c r="AA47" i="13"/>
  <c r="O47" i="13"/>
  <c r="P47" i="13" s="1"/>
  <c r="O13" i="13"/>
  <c r="P13" i="13" s="1"/>
  <c r="P18" i="13"/>
  <c r="AG18" i="13"/>
  <c r="AE18" i="13"/>
  <c r="AA18" i="13"/>
  <c r="AC18" i="13" s="1"/>
  <c r="O12" i="13"/>
  <c r="P12" i="13" s="1"/>
  <c r="AH12" i="13" s="1"/>
  <c r="AG43" i="13"/>
  <c r="AE43" i="13"/>
  <c r="AA43" i="13"/>
  <c r="AC43" i="13" s="1"/>
  <c r="P43" i="13"/>
  <c r="AG99" i="13"/>
  <c r="AG108" i="13"/>
  <c r="AG76" i="13"/>
  <c r="AG77" i="13"/>
  <c r="AG75" i="13"/>
  <c r="AG74" i="13"/>
  <c r="AG94" i="13"/>
  <c r="AG71" i="13"/>
  <c r="AG68" i="13"/>
  <c r="AG136" i="13"/>
  <c r="AG70" i="13"/>
  <c r="AG67" i="13"/>
  <c r="AG65" i="13"/>
  <c r="AG57" i="13"/>
  <c r="AG56" i="13"/>
  <c r="AG81" i="13"/>
  <c r="AG79" i="13"/>
  <c r="AG55" i="13"/>
  <c r="AG54" i="13"/>
  <c r="AG53" i="13"/>
  <c r="AG52" i="13"/>
  <c r="AG51" i="13"/>
  <c r="AG50" i="13"/>
  <c r="AG135" i="13"/>
  <c r="AG49" i="13"/>
  <c r="AG48" i="13"/>
  <c r="AG106" i="13"/>
  <c r="AG120" i="13"/>
  <c r="AG96" i="13"/>
  <c r="AG121" i="13"/>
  <c r="AG101" i="13"/>
  <c r="AG133" i="13"/>
  <c r="AG104" i="13"/>
  <c r="AG132" i="13"/>
  <c r="AG103" i="13"/>
  <c r="AG118" i="13"/>
  <c r="AG102" i="13"/>
  <c r="AG46" i="13"/>
  <c r="AG130" i="13"/>
  <c r="AG44" i="13"/>
  <c r="AG39" i="13"/>
  <c r="AG129" i="13"/>
  <c r="AG139" i="13"/>
  <c r="AG37" i="13"/>
  <c r="AG32" i="13"/>
  <c r="AG100" i="13"/>
  <c r="AG26" i="13"/>
  <c r="AG25" i="13"/>
  <c r="AG113" i="13"/>
  <c r="AG17" i="13"/>
  <c r="AG107" i="13"/>
  <c r="AG137" i="13"/>
  <c r="AG13" i="13"/>
  <c r="AG127" i="13"/>
  <c r="AG126" i="13"/>
  <c r="AG125" i="13"/>
  <c r="AG124" i="13"/>
  <c r="AG41" i="13"/>
  <c r="AG34" i="13"/>
  <c r="AG93" i="13"/>
  <c r="AG92" i="13"/>
  <c r="AG10" i="13"/>
  <c r="AG122" i="13"/>
  <c r="AG119" i="13"/>
  <c r="AG9" i="13"/>
  <c r="AG8" i="13"/>
  <c r="AG5" i="13"/>
  <c r="AG4" i="13"/>
  <c r="AG134" i="13"/>
  <c r="AE71" i="13"/>
  <c r="AA71" i="13"/>
  <c r="AD71" i="13" s="1"/>
  <c r="O71" i="13"/>
  <c r="P71" i="13" s="1"/>
  <c r="AA113" i="13"/>
  <c r="P113" i="13"/>
  <c r="AE113" i="13"/>
  <c r="AE99" i="13"/>
  <c r="AE108" i="13"/>
  <c r="AE76" i="13"/>
  <c r="AE77" i="13"/>
  <c r="AF75" i="13"/>
  <c r="AE75" i="13"/>
  <c r="AD75" i="13"/>
  <c r="AC75" i="13"/>
  <c r="AF74" i="13"/>
  <c r="AE74" i="13"/>
  <c r="AD74" i="13"/>
  <c r="AC74" i="13"/>
  <c r="AE94" i="13"/>
  <c r="AE68" i="13"/>
  <c r="AE136" i="13"/>
  <c r="AE70" i="13"/>
  <c r="AF67" i="13"/>
  <c r="AE67" i="13"/>
  <c r="AD67" i="13"/>
  <c r="AC67" i="13"/>
  <c r="AF65" i="13"/>
  <c r="AE65" i="13"/>
  <c r="AD65" i="13"/>
  <c r="AC65" i="13"/>
  <c r="AF57" i="13"/>
  <c r="AE57" i="13"/>
  <c r="AD57" i="13"/>
  <c r="AC57" i="13"/>
  <c r="AF56" i="13"/>
  <c r="AE56" i="13"/>
  <c r="AD56" i="13"/>
  <c r="AC56" i="13"/>
  <c r="AE81" i="13"/>
  <c r="AE79" i="13"/>
  <c r="AF55" i="13"/>
  <c r="AE55" i="13"/>
  <c r="AD55" i="13"/>
  <c r="AC55" i="13"/>
  <c r="AF54" i="13"/>
  <c r="AE54" i="13"/>
  <c r="AD54" i="13"/>
  <c r="AC54" i="13"/>
  <c r="AF53" i="13"/>
  <c r="AE53" i="13"/>
  <c r="AD53" i="13"/>
  <c r="AC53" i="13"/>
  <c r="AF52" i="13"/>
  <c r="AE52" i="13"/>
  <c r="AD52" i="13"/>
  <c r="AC52" i="13"/>
  <c r="AF51" i="13"/>
  <c r="AE51" i="13"/>
  <c r="AD51" i="13"/>
  <c r="AC51" i="13"/>
  <c r="AF50" i="13"/>
  <c r="AE50" i="13"/>
  <c r="AD50" i="13"/>
  <c r="AC50" i="13"/>
  <c r="AE135" i="13"/>
  <c r="AE49" i="13"/>
  <c r="AF49" i="13" s="1"/>
  <c r="AD49" i="13"/>
  <c r="AH61" i="13" s="1"/>
  <c r="AC49" i="13"/>
  <c r="AE48" i="13"/>
  <c r="AF48" i="13" s="1"/>
  <c r="AD48" i="13"/>
  <c r="AC48" i="13"/>
  <c r="AE134" i="13"/>
  <c r="AE106" i="13"/>
  <c r="AE120" i="13"/>
  <c r="AE96" i="13"/>
  <c r="P121" i="13"/>
  <c r="AE121" i="13"/>
  <c r="AE101" i="13"/>
  <c r="AE133" i="13"/>
  <c r="AE104" i="13"/>
  <c r="AE132" i="13"/>
  <c r="AE103" i="13"/>
  <c r="AE118" i="13"/>
  <c r="AE102" i="13"/>
  <c r="AE46" i="13"/>
  <c r="AD46" i="13"/>
  <c r="AC46" i="13"/>
  <c r="P130" i="13"/>
  <c r="AE130" i="13"/>
  <c r="AE44" i="13"/>
  <c r="AE39" i="13"/>
  <c r="AE129" i="13"/>
  <c r="AE139" i="13"/>
  <c r="AE37" i="13"/>
  <c r="AF32" i="13"/>
  <c r="AE32" i="13"/>
  <c r="AD32" i="13"/>
  <c r="AC32" i="13"/>
  <c r="P100" i="13"/>
  <c r="AE100" i="13"/>
  <c r="AF26" i="13"/>
  <c r="AE26" i="13"/>
  <c r="AD26" i="13"/>
  <c r="AC26" i="13"/>
  <c r="AE25" i="13"/>
  <c r="AD25" i="13"/>
  <c r="AC25" i="13"/>
  <c r="P17" i="13"/>
  <c r="AE17" i="13"/>
  <c r="P107" i="13"/>
  <c r="AE107" i="13"/>
  <c r="P137" i="13"/>
  <c r="AE137" i="13"/>
  <c r="AF13" i="13"/>
  <c r="AE13" i="13"/>
  <c r="AD13" i="13"/>
  <c r="AC13" i="13"/>
  <c r="AE127" i="13"/>
  <c r="AE126" i="13"/>
  <c r="AE125" i="13"/>
  <c r="AE124" i="13"/>
  <c r="AE41" i="13"/>
  <c r="AE34" i="13"/>
  <c r="AE93" i="13"/>
  <c r="AE92" i="13"/>
  <c r="AF10" i="13"/>
  <c r="AE10" i="13"/>
  <c r="AD10" i="13"/>
  <c r="AC10" i="13"/>
  <c r="AE122" i="13"/>
  <c r="AE119" i="13"/>
  <c r="AF9" i="13"/>
  <c r="AE9" i="13"/>
  <c r="AD9" i="13"/>
  <c r="AC9" i="13"/>
  <c r="AF8" i="13"/>
  <c r="AE8" i="13"/>
  <c r="AD8" i="13"/>
  <c r="AC8" i="13"/>
  <c r="AE5" i="13"/>
  <c r="AD5" i="13"/>
  <c r="AC5" i="13"/>
  <c r="AF4" i="13"/>
  <c r="AE4" i="13"/>
  <c r="AD4" i="13"/>
  <c r="AC4" i="13"/>
  <c r="AI129" i="13"/>
  <c r="O52" i="13"/>
  <c r="P52" i="13" s="1"/>
  <c r="AA130" i="13"/>
  <c r="AA25" i="13"/>
  <c r="O25" i="13"/>
  <c r="P25" i="13" s="1"/>
  <c r="AA17" i="13"/>
  <c r="AD17" i="13" s="1"/>
  <c r="AA107" i="13"/>
  <c r="AD107" i="13" s="1"/>
  <c r="AA99" i="13"/>
  <c r="AD99" i="13" s="1"/>
  <c r="AA108" i="13"/>
  <c r="AD108" i="13" s="1"/>
  <c r="AA76" i="13"/>
  <c r="AD76" i="13" s="1"/>
  <c r="AA77" i="13"/>
  <c r="AD77" i="13" s="1"/>
  <c r="AA75" i="13"/>
  <c r="AA74" i="13"/>
  <c r="AA94" i="13"/>
  <c r="AD94" i="13" s="1"/>
  <c r="AA68" i="13"/>
  <c r="AD68" i="13" s="1"/>
  <c r="AA136" i="13"/>
  <c r="AA70" i="13"/>
  <c r="AD70" i="13" s="1"/>
  <c r="AA67" i="13"/>
  <c r="AA65" i="13"/>
  <c r="AA57" i="13"/>
  <c r="AA56" i="13"/>
  <c r="AA81" i="13"/>
  <c r="AD81" i="13" s="1"/>
  <c r="AA79" i="13"/>
  <c r="AC79" i="13" s="1"/>
  <c r="AA55" i="13"/>
  <c r="AA54" i="13"/>
  <c r="AA53" i="13"/>
  <c r="AA52" i="13"/>
  <c r="AA51" i="13"/>
  <c r="AA50" i="13"/>
  <c r="AA135" i="13"/>
  <c r="AA49" i="13"/>
  <c r="AA48" i="13"/>
  <c r="AA134" i="13"/>
  <c r="AD134" i="13" s="1"/>
  <c r="AA106" i="13"/>
  <c r="AD106" i="13" s="1"/>
  <c r="AA120" i="13"/>
  <c r="AA96" i="13"/>
  <c r="AD96" i="13" s="1"/>
  <c r="AH20" i="13" s="1"/>
  <c r="AA121" i="13"/>
  <c r="AA101" i="13"/>
  <c r="AC101" i="13" s="1"/>
  <c r="AA133" i="13"/>
  <c r="AD133" i="13" s="1"/>
  <c r="AA104" i="13"/>
  <c r="AD104" i="13" s="1"/>
  <c r="AA132" i="13"/>
  <c r="AA103" i="13"/>
  <c r="AC103" i="13" s="1"/>
  <c r="AA118" i="13"/>
  <c r="AA102" i="13"/>
  <c r="AD102" i="13" s="1"/>
  <c r="AA46" i="13"/>
  <c r="AA44" i="13"/>
  <c r="AD44" i="13" s="1"/>
  <c r="AA39" i="13"/>
  <c r="AD39" i="13" s="1"/>
  <c r="AA129" i="13"/>
  <c r="AD129" i="13" s="1"/>
  <c r="AA139" i="13"/>
  <c r="AA37" i="13"/>
  <c r="AD37" i="13" s="1"/>
  <c r="AH30" i="13" s="1"/>
  <c r="AA32" i="13"/>
  <c r="AA100" i="13"/>
  <c r="AD100" i="13" s="1"/>
  <c r="AA26" i="13"/>
  <c r="AA137" i="13"/>
  <c r="AD137" i="13" s="1"/>
  <c r="AA13" i="13"/>
  <c r="AA127" i="13"/>
  <c r="AA126" i="13"/>
  <c r="AA125" i="13"/>
  <c r="AA124" i="13"/>
  <c r="AA41" i="13"/>
  <c r="AD41" i="13" s="1"/>
  <c r="AA34" i="13"/>
  <c r="AD34" i="13" s="1"/>
  <c r="AA93" i="13"/>
  <c r="AD93" i="13" s="1"/>
  <c r="AA92" i="13"/>
  <c r="AC92" i="13" s="1"/>
  <c r="AA10" i="13"/>
  <c r="AA122" i="13"/>
  <c r="AA119" i="13"/>
  <c r="AA9" i="13"/>
  <c r="AA8" i="13"/>
  <c r="AA5" i="13"/>
  <c r="AA4" i="13"/>
  <c r="O122" i="13"/>
  <c r="P122" i="13" s="1"/>
  <c r="AM75" i="13"/>
  <c r="P118" i="13"/>
  <c r="O99" i="13"/>
  <c r="P99" i="13" s="1"/>
  <c r="O108" i="13"/>
  <c r="P108" i="13" s="1"/>
  <c r="O76" i="13"/>
  <c r="P76" i="13" s="1"/>
  <c r="O77" i="13"/>
  <c r="P77" i="13" s="1"/>
  <c r="O75" i="13"/>
  <c r="P75" i="13" s="1"/>
  <c r="O74" i="13"/>
  <c r="P74" i="13" s="1"/>
  <c r="O94" i="13"/>
  <c r="P94" i="13" s="1"/>
  <c r="O68" i="13"/>
  <c r="P68" i="13" s="1"/>
  <c r="O136" i="13"/>
  <c r="P136" i="13" s="1"/>
  <c r="O70" i="13"/>
  <c r="P70" i="13" s="1"/>
  <c r="O67" i="13"/>
  <c r="P67" i="13" s="1"/>
  <c r="O65" i="13"/>
  <c r="P65" i="13" s="1"/>
  <c r="O57" i="13"/>
  <c r="P57" i="13" s="1"/>
  <c r="O56" i="13"/>
  <c r="P56" i="13" s="1"/>
  <c r="O81" i="13"/>
  <c r="P81" i="13" s="1"/>
  <c r="O79" i="13"/>
  <c r="P79" i="13" s="1"/>
  <c r="O55" i="13"/>
  <c r="P55" i="13" s="1"/>
  <c r="O54" i="13"/>
  <c r="P54" i="13" s="1"/>
  <c r="O53" i="13"/>
  <c r="P53" i="13" s="1"/>
  <c r="O51" i="13"/>
  <c r="P51" i="13" s="1"/>
  <c r="O50" i="13"/>
  <c r="P50" i="13" s="1"/>
  <c r="O134" i="13"/>
  <c r="P134" i="13" s="1"/>
  <c r="O106" i="13"/>
  <c r="P106" i="13" s="1"/>
  <c r="O96" i="13"/>
  <c r="P96" i="13" s="1"/>
  <c r="O135" i="13"/>
  <c r="P135" i="13" s="1"/>
  <c r="O101" i="13"/>
  <c r="P101" i="13" s="1"/>
  <c r="O133" i="13"/>
  <c r="P133" i="13" s="1"/>
  <c r="O49" i="13"/>
  <c r="P49" i="13" s="1"/>
  <c r="O48" i="13"/>
  <c r="P48" i="13" s="1"/>
  <c r="O104" i="13"/>
  <c r="P104" i="13" s="1"/>
  <c r="O132" i="13"/>
  <c r="P132" i="13" s="1"/>
  <c r="O103" i="13"/>
  <c r="P103" i="13" s="1"/>
  <c r="O120" i="13"/>
  <c r="P120" i="13" s="1"/>
  <c r="O102" i="13"/>
  <c r="P102" i="13" s="1"/>
  <c r="O46" i="13"/>
  <c r="P46" i="13" s="1"/>
  <c r="O44" i="13"/>
  <c r="P44" i="13" s="1"/>
  <c r="O39" i="13"/>
  <c r="P39" i="13" s="1"/>
  <c r="O129" i="13"/>
  <c r="P129" i="13" s="1"/>
  <c r="O139" i="13"/>
  <c r="P139" i="13" s="1"/>
  <c r="O37" i="13"/>
  <c r="P37" i="13" s="1"/>
  <c r="O32" i="13"/>
  <c r="P32" i="13" s="1"/>
  <c r="O26" i="13"/>
  <c r="P26" i="13" s="1"/>
  <c r="O127" i="13"/>
  <c r="P127" i="13" s="1"/>
  <c r="O126" i="13"/>
  <c r="P126" i="13" s="1"/>
  <c r="O125" i="13"/>
  <c r="P125" i="13" s="1"/>
  <c r="O124" i="13"/>
  <c r="P124" i="13" s="1"/>
  <c r="O41" i="13"/>
  <c r="P41" i="13" s="1"/>
  <c r="O34" i="13"/>
  <c r="P34" i="13" s="1"/>
  <c r="O93" i="13"/>
  <c r="P93" i="13" s="1"/>
  <c r="O92" i="13"/>
  <c r="P92" i="13" s="1"/>
  <c r="P119" i="13"/>
  <c r="O9" i="13"/>
  <c r="P9" i="13" s="1"/>
  <c r="O8" i="13"/>
  <c r="P8" i="13" s="1"/>
  <c r="O5" i="13"/>
  <c r="P5" i="13" s="1"/>
  <c r="O4" i="13"/>
  <c r="AF25" i="13" l="1"/>
  <c r="AF5" i="13"/>
  <c r="P4" i="13"/>
  <c r="AH4" i="13" s="1"/>
  <c r="AD127" i="13"/>
  <c r="AH127" i="13" s="1"/>
  <c r="AD132" i="13"/>
  <c r="AD130" i="13"/>
  <c r="AH130" i="13" s="1"/>
  <c r="AC113" i="13"/>
  <c r="AC119" i="13"/>
  <c r="AD118" i="13"/>
  <c r="AH118" i="13" s="1"/>
  <c r="AD121" i="13"/>
  <c r="AH121" i="13" s="1"/>
  <c r="AC120" i="13"/>
  <c r="AH138" i="13"/>
  <c r="AD136" i="13"/>
  <c r="AH136" i="13" s="1"/>
  <c r="AD122" i="13"/>
  <c r="AH122" i="13" s="1"/>
  <c r="AF46" i="13"/>
  <c r="AF47" i="13"/>
  <c r="AD135" i="13"/>
  <c r="AH135" i="13" s="1"/>
  <c r="AF135" i="13"/>
  <c r="AC126" i="13"/>
  <c r="AD124" i="13"/>
  <c r="AH124" i="13" s="1"/>
  <c r="AE40" i="13"/>
  <c r="AF40" i="13" s="1"/>
  <c r="AD40" i="13"/>
  <c r="AH40" i="13" s="1"/>
  <c r="AF18" i="13"/>
  <c r="AH47" i="13"/>
  <c r="AD18" i="13"/>
  <c r="AF43" i="13"/>
  <c r="AD43" i="13"/>
  <c r="AH134" i="13"/>
  <c r="AH71" i="13"/>
  <c r="AF71" i="13"/>
  <c r="AC71" i="13"/>
  <c r="AH52" i="13"/>
  <c r="AF113" i="13"/>
  <c r="AH48" i="13"/>
  <c r="AH65" i="13"/>
  <c r="AH54" i="13"/>
  <c r="AH53" i="13"/>
  <c r="AH25" i="13"/>
  <c r="AF125" i="13"/>
  <c r="AF122" i="13"/>
  <c r="AH76" i="13"/>
  <c r="AH108" i="13"/>
  <c r="AF41" i="13"/>
  <c r="AD113" i="13"/>
  <c r="AH113" i="13" s="1"/>
  <c r="AF121" i="13"/>
  <c r="AF17" i="13"/>
  <c r="AD101" i="13"/>
  <c r="AD120" i="13"/>
  <c r="AH120" i="13" s="1"/>
  <c r="AH34" i="13"/>
  <c r="AF120" i="13"/>
  <c r="AF132" i="13"/>
  <c r="AC129" i="13"/>
  <c r="AH106" i="13"/>
  <c r="AF106" i="13"/>
  <c r="AF93" i="13"/>
  <c r="AC125" i="13"/>
  <c r="AD92" i="13"/>
  <c r="AF39" i="13"/>
  <c r="AF126" i="13"/>
  <c r="AH93" i="13"/>
  <c r="AF104" i="13"/>
  <c r="AH100" i="13"/>
  <c r="AH102" i="13"/>
  <c r="AD119" i="13"/>
  <c r="AH119" i="13" s="1"/>
  <c r="AD103" i="13"/>
  <c r="AH103" i="13" s="1"/>
  <c r="AF139" i="13"/>
  <c r="AF92" i="13"/>
  <c r="AH55" i="13"/>
  <c r="AF119" i="13"/>
  <c r="AD126" i="13"/>
  <c r="AH126" i="13" s="1"/>
  <c r="AF103" i="13"/>
  <c r="AH137" i="13"/>
  <c r="AH39" i="13"/>
  <c r="AH99" i="13"/>
  <c r="AH67" i="13"/>
  <c r="AH68" i="13"/>
  <c r="AH9" i="13"/>
  <c r="AH44" i="13"/>
  <c r="AH81" i="13"/>
  <c r="AH94" i="13"/>
  <c r="AH26" i="13"/>
  <c r="AH41" i="13"/>
  <c r="AH70" i="13"/>
  <c r="AH96" i="13"/>
  <c r="AH77" i="13"/>
  <c r="AH104" i="13"/>
  <c r="AC133" i="13"/>
  <c r="AC34" i="13"/>
  <c r="AD125" i="13"/>
  <c r="AH125" i="13" s="1"/>
  <c r="AF137" i="13"/>
  <c r="AC17" i="13"/>
  <c r="AH32" i="13"/>
  <c r="AC139" i="13"/>
  <c r="AC130" i="13"/>
  <c r="AC118" i="13"/>
  <c r="AC96" i="13"/>
  <c r="AH51" i="13"/>
  <c r="AH74" i="13"/>
  <c r="AC76" i="13"/>
  <c r="AF108" i="13"/>
  <c r="AH13" i="13"/>
  <c r="AH17" i="13"/>
  <c r="AD139" i="13"/>
  <c r="AH139" i="13" s="1"/>
  <c r="AF129" i="13"/>
  <c r="AC104" i="13"/>
  <c r="AF133" i="13"/>
  <c r="AC134" i="13"/>
  <c r="AH56" i="13"/>
  <c r="AC70" i="13"/>
  <c r="AF136" i="13"/>
  <c r="AH107" i="13"/>
  <c r="AC122" i="13"/>
  <c r="AC93" i="13"/>
  <c r="AF34" i="13"/>
  <c r="AC124" i="13"/>
  <c r="AC100" i="13"/>
  <c r="AC44" i="13"/>
  <c r="AF130" i="13"/>
  <c r="AF118" i="13"/>
  <c r="AC121" i="13"/>
  <c r="AF96" i="13"/>
  <c r="AC106" i="13"/>
  <c r="AH50" i="13"/>
  <c r="AC94" i="13"/>
  <c r="AF76" i="13"/>
  <c r="AD79" i="13"/>
  <c r="AH79" i="13" s="1"/>
  <c r="AF101" i="13"/>
  <c r="AH5" i="13"/>
  <c r="AC41" i="13"/>
  <c r="AC127" i="13"/>
  <c r="AC107" i="13"/>
  <c r="AC37" i="13"/>
  <c r="AC102" i="13"/>
  <c r="AF134" i="13"/>
  <c r="AC135" i="13"/>
  <c r="AC81" i="13"/>
  <c r="AF70" i="13"/>
  <c r="AC77" i="13"/>
  <c r="AC99" i="13"/>
  <c r="AF124" i="13"/>
  <c r="AF100" i="13"/>
  <c r="AC39" i="13"/>
  <c r="AF44" i="13"/>
  <c r="AC132" i="13"/>
  <c r="AC68" i="13"/>
  <c r="AF94" i="13"/>
  <c r="AC137" i="13"/>
  <c r="AH46" i="13"/>
  <c r="AH37" i="13"/>
  <c r="AF127" i="13"/>
  <c r="AF107" i="13"/>
  <c r="AF37" i="13"/>
  <c r="AF102" i="13"/>
  <c r="AF81" i="13"/>
  <c r="AF77" i="13"/>
  <c r="AF99" i="13"/>
  <c r="AC136" i="13"/>
  <c r="AF68" i="13"/>
  <c r="AH75" i="13"/>
  <c r="AC108" i="13"/>
  <c r="AF79" i="13"/>
  <c r="AH57" i="13"/>
  <c r="O10" i="13"/>
  <c r="P10" i="13" s="1"/>
  <c r="AH10" i="13" s="1"/>
  <c r="AH92" i="13" l="1"/>
  <c r="AH21" i="13"/>
  <c r="AH133" i="13"/>
  <c r="AH8" i="13"/>
  <c r="AH132" i="13"/>
  <c r="AH129" i="13"/>
  <c r="AH43" i="13"/>
  <c r="AH101" i="13"/>
  <c r="AH18" i="13"/>
  <c r="AH128" i="13"/>
  <c r="AH4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tc={1CA5FA6F-155E-4D9E-83C0-04BE1594364B}</author>
    <author>Naveen Kundra</author>
    <author>tc={913119DD-7638-4EED-9D3D-5CC030EF2A69}</author>
    <author>tc={7FFECBF1-6149-4175-9B7D-7B0F4CDE1747}</author>
  </authors>
  <commentList>
    <comment ref="J16" authorId="0" shapeId="0" xr:uid="{1CA5FA6F-155E-4D9E-83C0-04BE1594364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META on 21-Nov Q:330 for 10524</t>
        </r>
      </text>
    </comment>
    <comment ref="C17" authorId="1" shapeId="0" xr:uid="{1B05AAC6-92D9-4345-B931-ACC91374CFE2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It's MU.ME</t>
        </r>
      </text>
    </comment>
    <comment ref="I30" authorId="1" shapeId="0" xr:uid="{8432C75A-7EA1-4EA8-9610-0F4B4A8A6AFD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Two Separate Trades. 8 @ 295 and 20 @ 335.79</t>
        </r>
      </text>
    </comment>
    <comment ref="T39" authorId="2" shapeId="0" xr:uid="{913119DD-7638-4EED-9D3D-5CC030EF2A6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Stock split on 18-Nov</t>
        </r>
      </text>
    </comment>
    <comment ref="S40" authorId="1" shapeId="0" xr:uid="{237C9655-4CC0-4E3E-85E7-7DE86C5D63E8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1400 urchase @1.98 and then 1500@7.4</t>
        </r>
      </text>
    </comment>
    <comment ref="I43" authorId="1" shapeId="0" xr:uid="{64D69289-F899-49A5-8BD4-9975C40B16B6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Conversion of Jan-17, Call Option @9</t>
        </r>
      </text>
    </comment>
    <comment ref="J61" authorId="1" shapeId="0" xr:uid="{460C8D8C-0E65-47F1-9241-C5D50C7E2DC5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500 stocks purchased on 29-Jul @1.8. Previous Purchase was 1000 Units@1.85 on 27-Jan</t>
        </r>
      </text>
    </comment>
    <comment ref="I110" authorId="3" shapeId="0" xr:uid="{7FFECBF1-6149-4175-9B7D-7B0F4CDE17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Expired WorthLess</t>
        </r>
      </text>
    </comment>
    <comment ref="I116" authorId="1" shapeId="0" xr:uid="{977B13A2-7506-48C2-B1A2-B77CC9FF8138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Conversion of Jan-17, Call Option @9. Sold Option at 18 Dollar which netted just 121 expired, 18-July</t>
        </r>
      </text>
    </comment>
    <comment ref="I124" authorId="1" shapeId="0" xr:uid="{B0E5BD58-7B30-485A-A66D-302798183C0D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Exercised the Call. Hence, Initial 825, Booking as Loss</t>
        </r>
      </text>
    </comment>
    <comment ref="I126" authorId="1" shapeId="0" xr:uid="{2B5AE967-F698-49BC-9EB9-649019110D5D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Expired WorthLess</t>
        </r>
      </text>
    </comment>
    <comment ref="I127" authorId="1" shapeId="0" xr:uid="{2BE2CD2A-17D2-4EDF-8C08-E817DEDDEC6A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Expired WorthLess on 17-Jan. </t>
        </r>
      </text>
    </comment>
    <comment ref="I128" authorId="1" shapeId="0" xr:uid="{23AFDE3E-486B-4CC4-AE72-76CD95596073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Sold PLTR Call Option</t>
        </r>
      </text>
    </comment>
    <comment ref="Q129" authorId="1" shapeId="0" xr:uid="{3DFFA969-BE98-4BB9-9CE0-39E6B928F9D9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7 Stocks on 31-Dec-2024. 93 Prior. Transf from CAD SDRSP on Easy Trade</t>
        </r>
      </text>
    </comment>
    <comment ref="R129" authorId="1" shapeId="0" xr:uid="{DBDF50A9-226F-4017-83B0-FF0249A2D1A5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7 Stocks on 31-Dec-2024. 93 Prior. Transf from CAD SDRSP on Easy Trade</t>
        </r>
      </text>
    </comment>
    <comment ref="I131" authorId="1" shapeId="0" xr:uid="{50F0109E-83AC-4F83-8BA0-E45934BBD839}">
      <text>
        <r>
          <rPr>
            <b/>
            <sz val="9"/>
            <color indexed="81"/>
            <rFont val="Tahoma"/>
            <family val="2"/>
          </rPr>
          <t>Norbit's Gamble In TFSA. Total Purchase 154 @86.40 CAD. Amount = 4665.6+8640. Leading to Exchange Rate of 1.435 when sold in USD at 9273</t>
        </r>
      </text>
    </comment>
    <comment ref="I132" authorId="1" shapeId="0" xr:uid="{B2070F9F-8600-4A25-8B2F-46F78947C4B5}">
      <text>
        <r>
          <rPr>
            <b/>
            <sz val="9"/>
            <color indexed="81"/>
            <rFont val="Tahoma"/>
            <family val="2"/>
          </rPr>
          <t>Naveen Kundra:</t>
        </r>
        <r>
          <rPr>
            <sz val="9"/>
            <color indexed="81"/>
            <rFont val="Tahoma"/>
            <family val="2"/>
          </rPr>
          <t xml:space="preserve">
Expired Worthless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60DE6F-8C5B-4AA6-A18F-B4C26A1F4A1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<sst xmlns="http://schemas.openxmlformats.org/spreadsheetml/2006/main" count="980" uniqueCount="123">
  <si>
    <t>TFSA</t>
  </si>
  <si>
    <t>USD</t>
  </si>
  <si>
    <t>Name</t>
  </si>
  <si>
    <t>Acc_Type</t>
  </si>
  <si>
    <t>Inv_Type</t>
  </si>
  <si>
    <t>Cash</t>
  </si>
  <si>
    <t>Naveen</t>
  </si>
  <si>
    <t>Shweta</t>
  </si>
  <si>
    <t>RSP</t>
  </si>
  <si>
    <t>RESP</t>
  </si>
  <si>
    <t>Date_Updated</t>
  </si>
  <si>
    <t>TICK</t>
  </si>
  <si>
    <t>Platf</t>
  </si>
  <si>
    <t>Curr</t>
  </si>
  <si>
    <t>Dt. Pur</t>
  </si>
  <si>
    <t>Date Sold</t>
  </si>
  <si>
    <t>Cash_Eqv</t>
  </si>
  <si>
    <t>Mkt_Val</t>
  </si>
  <si>
    <t>T_Cash</t>
  </si>
  <si>
    <t>T_Cash_Bal_In_CAD</t>
  </si>
  <si>
    <t>Book_P</t>
  </si>
  <si>
    <t>BK_Cst_Sold</t>
  </si>
  <si>
    <t>Book_Pr_U</t>
  </si>
  <si>
    <t>Units</t>
  </si>
  <si>
    <t>Sold_Units</t>
  </si>
  <si>
    <t>Sold_MV</t>
  </si>
  <si>
    <t>Sold_Stock_Price</t>
  </si>
  <si>
    <t>Proft / Loss Booked (Curr)</t>
  </si>
  <si>
    <t>Proft / Loss Booked (CAD)</t>
  </si>
  <si>
    <t>Ex_Rt</t>
  </si>
  <si>
    <t>USD_Ind</t>
  </si>
  <si>
    <t>Book_Value_CAD</t>
  </si>
  <si>
    <t>MK_Val_CAD</t>
  </si>
  <si>
    <t>Ret_Abs</t>
  </si>
  <si>
    <t>Ret_CAD</t>
  </si>
  <si>
    <t>%ge Return</t>
  </si>
  <si>
    <t>Cash_CAD_Mk_Val_CAD</t>
  </si>
  <si>
    <t>Stock_Eqv_USD</t>
  </si>
  <si>
    <t>12-24-2024</t>
  </si>
  <si>
    <t>PLTR</t>
  </si>
  <si>
    <t>ET</t>
  </si>
  <si>
    <t>Stock</t>
  </si>
  <si>
    <t>SOFI</t>
  </si>
  <si>
    <t>DI</t>
  </si>
  <si>
    <t>ASML</t>
  </si>
  <si>
    <t>CAD</t>
  </si>
  <si>
    <t>BABA</t>
  </si>
  <si>
    <t>02-21-2024</t>
  </si>
  <si>
    <t>HOOD</t>
  </si>
  <si>
    <t>TSLA</t>
  </si>
  <si>
    <t>WS</t>
  </si>
  <si>
    <t>SNOW</t>
  </si>
  <si>
    <t>NVDA.NE</t>
  </si>
  <si>
    <t>Option</t>
  </si>
  <si>
    <t>OKLO</t>
  </si>
  <si>
    <t>AAPL</t>
  </si>
  <si>
    <t>NVDL</t>
  </si>
  <si>
    <t>BULL</t>
  </si>
  <si>
    <t>NU</t>
  </si>
  <si>
    <t>BITX</t>
  </si>
  <si>
    <t>TD</t>
  </si>
  <si>
    <t>Calls - 17'Jan and 21'Mar</t>
  </si>
  <si>
    <t>PFE</t>
  </si>
  <si>
    <t>SPXU</t>
  </si>
  <si>
    <t>Calls' 21'Feb'2024</t>
  </si>
  <si>
    <t>ABNB</t>
  </si>
  <si>
    <t>DLR</t>
  </si>
  <si>
    <t>BIVI</t>
  </si>
  <si>
    <t>ACB</t>
  </si>
  <si>
    <t>NIO</t>
  </si>
  <si>
    <t>21'FebCall</t>
  </si>
  <si>
    <t>MSTX</t>
  </si>
  <si>
    <t>RDFN</t>
  </si>
  <si>
    <t>Mkt_Val_Curr</t>
  </si>
  <si>
    <t>Index</t>
  </si>
  <si>
    <t>AVGO</t>
  </si>
  <si>
    <t>BURU</t>
  </si>
  <si>
    <t>META</t>
  </si>
  <si>
    <t>MU</t>
  </si>
  <si>
    <t>ONDS</t>
  </si>
  <si>
    <t>RR</t>
  </si>
  <si>
    <t>AMZN</t>
  </si>
  <si>
    <t>IREN</t>
  </si>
  <si>
    <t>PATH</t>
  </si>
  <si>
    <t>02-26-2024</t>
  </si>
  <si>
    <t>XIU</t>
  </si>
  <si>
    <t>XSP</t>
  </si>
  <si>
    <t>AMD</t>
  </si>
  <si>
    <t>CIFR</t>
  </si>
  <si>
    <t>NFLX</t>
  </si>
  <si>
    <t>RCAT</t>
  </si>
  <si>
    <t>UNH</t>
  </si>
  <si>
    <t>GLDM</t>
  </si>
  <si>
    <t>ZETA</t>
  </si>
  <si>
    <t>MSFT</t>
  </si>
  <si>
    <t>JEPQ</t>
  </si>
  <si>
    <t>JEPI</t>
  </si>
  <si>
    <t>OSCR</t>
  </si>
  <si>
    <t>GOOGL</t>
  </si>
  <si>
    <t>CRWD</t>
  </si>
  <si>
    <t>MBLY</t>
  </si>
  <si>
    <t>QQQ</t>
  </si>
  <si>
    <t>SOXX</t>
  </si>
  <si>
    <t>AC</t>
  </si>
  <si>
    <t>UMAC</t>
  </si>
  <si>
    <t>UAMY</t>
  </si>
  <si>
    <t xml:space="preserve"> </t>
  </si>
  <si>
    <t>Par_TICK</t>
  </si>
  <si>
    <t>MP</t>
  </si>
  <si>
    <t>DRAM</t>
  </si>
  <si>
    <t>N/A</t>
  </si>
  <si>
    <t>zCash</t>
  </si>
  <si>
    <t>NOK</t>
  </si>
  <si>
    <t>RKLB</t>
  </si>
  <si>
    <t>EUV</t>
  </si>
  <si>
    <t>VDY.TO</t>
  </si>
  <si>
    <t>MSFT.NE</t>
  </si>
  <si>
    <t>MU.NE</t>
  </si>
  <si>
    <t>HOOD.NE</t>
  </si>
  <si>
    <t>AMZN.NE</t>
  </si>
  <si>
    <t>AVGO.NE</t>
  </si>
  <si>
    <t>META.ME</t>
  </si>
  <si>
    <t>IBIT.NE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</si>
</sst>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_-;\-* #,##0.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15" fontId="0" fillId="0" borderId="0" xfId="0" applyNumberFormat="1"/>
    <xf numFmtId="164" fontId="0" fillId="0" borderId="0" xfId="0" applyNumberFormat="1"/>
    <xf numFmtId="2" fontId="0" fillId="0" borderId="0" xfId="0" applyNumberFormat="1"/>
    <xf numFmtId="43" fontId="0" fillId="0" borderId="0" xfId="0" applyNumberFormat="1"/>
    <xf numFmtId="0" fontId="0" fillId="2" borderId="0" xfId="0" applyFill="1"/>
    <xf numFmtId="165" fontId="0" fillId="0" borderId="0" xfId="2" applyNumberFormat="1" applyFont="1"/>
    <xf numFmtId="0" fontId="0" fillId="3" borderId="0" xfId="0" applyFill="1"/>
    <xf numFmtId="0" fontId="0" fillId="0" borderId="0" xfId="0" applyAlignment="1">
      <alignment wrapText="1"/>
    </xf>
    <xf numFmtId="9" fontId="0" fillId="0" borderId="0" xfId="2" applyFont="1"/>
    <xf numFmtId="43" fontId="0" fillId="0" borderId="0" xfId="1" applyFont="1"/>
    <xf numFmtId="166" fontId="0" fillId="0" borderId="0" xfId="1" applyNumberFormat="1" applyFont="1"/>
    <xf numFmtId="166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0" fontId="0" fillId="4" borderId="0" xfId="0" applyFill="1" applyAlignment="1">
      <alignment wrapText="1"/>
    </xf>
    <xf numFmtId="15" fontId="0" fillId="3" borderId="0" xfId="0" applyNumberFormat="1" applyFill="1"/>
    <xf numFmtId="164" fontId="0" fillId="3" borderId="0" xfId="1" applyNumberFormat="1" applyFont="1" applyFill="1"/>
    <xf numFmtId="166" fontId="0" fillId="3" borderId="0" xfId="1" applyNumberFormat="1" applyFont="1" applyFill="1"/>
    <xf numFmtId="2" fontId="0" fillId="3" borderId="0" xfId="0" applyNumberFormat="1" applyFill="1"/>
    <xf numFmtId="165" fontId="0" fillId="3" borderId="0" xfId="2" applyNumberFormat="1" applyFont="1" applyFill="1"/>
    <xf numFmtId="43" fontId="0" fillId="3" borderId="0" xfId="0" applyNumberFormat="1" applyFill="1"/>
    <xf numFmtId="17" fontId="0" fillId="3" borderId="0" xfId="0" applyNumberFormat="1" applyFill="1"/>
    <xf numFmtId="16" fontId="0" fillId="3" borderId="0" xfId="0" applyNumberFormat="1" applyFill="1"/>
    <xf numFmtId="15" fontId="2" fillId="3" borderId="0" xfId="0" applyNumberFormat="1" applyFont="1" applyFill="1"/>
    <xf numFmtId="0" fontId="0" fillId="5" borderId="0" xfId="0" applyFill="1"/>
    <xf numFmtId="164" fontId="0" fillId="0" borderId="0" xfId="2" applyNumberFormat="1" applyFont="1"/>
    <xf numFmtId="164" fontId="0" fillId="2" borderId="0" xfId="1" applyNumberFormat="1" applyFont="1" applyFill="1"/>
    <xf numFmtId="166" fontId="0" fillId="3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1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28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veen Kundra" id="{39A00F17-5B0F-465E-A41D-615876B1F83E}" userId="1c45e58a6bb4d51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5" dT="2025-11-22T01:42:05.43" personId="{39A00F17-5B0F-465E-A41D-615876B1F83E}" id="{1CA5FA6F-155E-4D9E-83C0-04BE1594364B}">
    <text>META on 21-Nov Q:330 for 10524</text>
  </threadedComment>
  <threadedComment ref="S35" dT="2025-11-22T01:47:49.95" personId="{39A00F17-5B0F-465E-A41D-615876B1F83E}" id="{913119DD-7638-4EED-9D3D-5CC030EF2A69}">
    <text>Stock split on 18-Nov</text>
  </threadedComment>
  <threadedComment ref="H98" dT="2025-11-22T04:58:59.15" personId="{39A00F17-5B0F-465E-A41D-615876B1F83E}" id="{7FFECBF1-6149-4175-9B7D-7B0F4CDE1747}">
    <text>Expired WorthLess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E5659-DA2C-44EA-B807-F00AB6ADED6A}">
  <dimension ref="B1:AN139"/>
  <sheetViews>
    <sheetView tabSelected="1" zoomScaleNormal="90" workbookViewId="0">
      <pane xSplit="9" ySplit="3" topLeftCell="S4" activePane="bottomRight" state="frozen"/>
      <selection pane="topRight" activeCell="I1" sqref="I1"/>
      <selection pane="bottomLeft" activeCell="A4" sqref="A4"/>
      <selection pane="bottomRight" activeCell="Z18" sqref="Z18"/>
    </sheetView>
  </sheetViews>
  <sheetFormatPr defaultRowHeight="14.25" x14ac:dyDescent="0.45"/>
  <cols>
    <col min="1" max="1" width="2.73046875" customWidth="1"/>
    <col min="2" max="2" width="10.1328125" customWidth="1"/>
    <col min="3" max="3" width="6.86328125" bestFit="1" customWidth="1"/>
    <col min="4" max="4" width="6.86328125" customWidth="1"/>
    <col min="6" max="6" width="6.86328125" bestFit="1" customWidth="1"/>
    <col min="7" max="7" width="7.1328125" bestFit="1" customWidth="1"/>
    <col min="8" max="8" width="6.73046875" bestFit="1" customWidth="1"/>
    <col min="9" max="9" width="13.59765625" customWidth="1"/>
    <col min="10" max="10" width="10" bestFit="1" customWidth="1"/>
    <col min="11" max="11" width="11.59765625" customWidth="1"/>
    <col min="12" max="12" width="10.1328125" bestFit="1" customWidth="1"/>
    <col min="13" max="13" width="11.1328125" bestFit="1" customWidth="1"/>
    <col min="14" max="14" width="10.3984375" style="1" bestFit="1" customWidth="1"/>
    <col min="15" max="16" width="11.1328125" customWidth="1"/>
    <col min="17" max="17" width="10.1328125" style="1" bestFit="1" customWidth="1"/>
    <col min="18" max="18" width="10.1328125" style="1" customWidth="1"/>
    <col min="19" max="19" width="8.86328125" style="12" bestFit="1" customWidth="1"/>
    <col min="20" max="21" width="11.86328125" customWidth="1"/>
    <col min="22" max="22" width="9.86328125" bestFit="1" customWidth="1"/>
    <col min="23" max="23" width="9.1328125" customWidth="1"/>
    <col min="24" max="25" width="10.3984375" style="1" customWidth="1"/>
    <col min="26" max="26" width="11.1328125" bestFit="1" customWidth="1"/>
    <col min="28" max="28" width="9.86328125" bestFit="1" customWidth="1"/>
    <col min="29" max="29" width="12.59765625" bestFit="1" customWidth="1"/>
    <col min="30" max="30" width="10.1328125" customWidth="1"/>
    <col min="31" max="31" width="12.73046875" customWidth="1"/>
    <col min="32" max="32" width="13.3984375" customWidth="1"/>
    <col min="34" max="34" width="11.1328125" customWidth="1"/>
    <col min="36" max="36" width="12" customWidth="1"/>
    <col min="37" max="38" width="10.86328125" bestFit="1" customWidth="1"/>
    <col min="39" max="40" width="9.1328125" bestFit="1" customWidth="1"/>
    <col min="41" max="41" width="42.86328125" bestFit="1" customWidth="1"/>
  </cols>
  <sheetData>
    <row r="1" spans="2:39" x14ac:dyDescent="0.45">
      <c r="M1" s="3"/>
      <c r="O1" s="3"/>
      <c r="P1" s="3"/>
      <c r="Y1" s="11"/>
      <c r="AA1" s="5"/>
      <c r="AB1" s="5"/>
      <c r="AC1" s="3"/>
      <c r="AD1" s="3"/>
      <c r="AF1" s="1"/>
      <c r="AH1" s="3"/>
      <c r="AI1" s="11"/>
      <c r="AJ1" s="11"/>
      <c r="AK1" s="11"/>
      <c r="AL1" s="5"/>
      <c r="AM1" s="5"/>
    </row>
    <row r="2" spans="2:39" x14ac:dyDescent="0.45">
      <c r="M2" s="3"/>
      <c r="N2" s="3"/>
      <c r="O2" s="3"/>
      <c r="P2" s="3"/>
      <c r="Q2" s="11"/>
      <c r="T2" s="3"/>
      <c r="U2" s="11"/>
      <c r="V2" s="5"/>
      <c r="AC2" s="3"/>
      <c r="AD2" s="3"/>
      <c r="AE2" s="1"/>
      <c r="AF2" s="1"/>
      <c r="AH2" s="3"/>
      <c r="AI2" s="10"/>
      <c r="AJ2" s="1"/>
      <c r="AK2" s="26"/>
      <c r="AL2" s="5"/>
      <c r="AM2" s="5"/>
    </row>
    <row r="3" spans="2:39" s="9" customFormat="1" ht="42.75" x14ac:dyDescent="0.45">
      <c r="B3" s="9" t="s">
        <v>10</v>
      </c>
      <c r="C3" s="9" t="s">
        <v>11</v>
      </c>
      <c r="D3" s="9" t="s">
        <v>107</v>
      </c>
      <c r="E3" s="9" t="s">
        <v>2</v>
      </c>
      <c r="F3" s="9" t="s">
        <v>12</v>
      </c>
      <c r="G3" s="9" t="s">
        <v>3</v>
      </c>
      <c r="H3" s="9" t="s">
        <v>13</v>
      </c>
      <c r="I3" s="9" t="s">
        <v>4</v>
      </c>
      <c r="J3" s="9" t="s">
        <v>14</v>
      </c>
      <c r="K3" s="9" t="s">
        <v>15</v>
      </c>
      <c r="L3" s="9" t="s">
        <v>5</v>
      </c>
      <c r="M3" s="9" t="s">
        <v>16</v>
      </c>
      <c r="N3" s="14" t="s">
        <v>17</v>
      </c>
      <c r="O3" s="15" t="s">
        <v>18</v>
      </c>
      <c r="P3" s="15" t="s">
        <v>19</v>
      </c>
      <c r="Q3" s="14" t="s">
        <v>20</v>
      </c>
      <c r="R3" s="14" t="s">
        <v>21</v>
      </c>
      <c r="S3" s="13" t="s">
        <v>22</v>
      </c>
      <c r="T3" s="9" t="s">
        <v>23</v>
      </c>
      <c r="U3" s="9" t="s">
        <v>24</v>
      </c>
      <c r="V3" s="9" t="s">
        <v>25</v>
      </c>
      <c r="W3" s="9" t="s">
        <v>26</v>
      </c>
      <c r="X3" s="14" t="s">
        <v>27</v>
      </c>
      <c r="Y3" s="14" t="s">
        <v>28</v>
      </c>
      <c r="Z3" s="9" t="s">
        <v>29</v>
      </c>
      <c r="AA3" s="9" t="s">
        <v>30</v>
      </c>
      <c r="AB3" s="9" t="s">
        <v>73</v>
      </c>
      <c r="AC3" s="15" t="s">
        <v>31</v>
      </c>
      <c r="AD3" s="15" t="s">
        <v>32</v>
      </c>
      <c r="AE3" s="9" t="s">
        <v>33</v>
      </c>
      <c r="AF3" s="15" t="s">
        <v>34</v>
      </c>
      <c r="AG3" s="9" t="s">
        <v>35</v>
      </c>
      <c r="AH3" s="15" t="s">
        <v>36</v>
      </c>
      <c r="AI3" s="9" t="s">
        <v>37</v>
      </c>
    </row>
    <row r="4" spans="2:39" x14ac:dyDescent="0.45">
      <c r="B4" t="s">
        <v>38</v>
      </c>
      <c r="C4" t="s">
        <v>111</v>
      </c>
      <c r="D4" t="str">
        <f>C4</f>
        <v>zCash</v>
      </c>
      <c r="E4" t="s">
        <v>6</v>
      </c>
      <c r="F4" t="s">
        <v>43</v>
      </c>
      <c r="G4" t="s">
        <v>5</v>
      </c>
      <c r="H4" t="s">
        <v>45</v>
      </c>
      <c r="I4" t="s">
        <v>5</v>
      </c>
      <c r="J4" t="s">
        <v>110</v>
      </c>
      <c r="L4" s="1">
        <v>0</v>
      </c>
      <c r="M4" s="1">
        <v>12386</v>
      </c>
      <c r="O4" s="1">
        <f t="shared" ref="O4:O12" si="0">L4+M4</f>
        <v>12386</v>
      </c>
      <c r="P4" s="1">
        <f>IF(H4="USD",O4*Z4,O4)</f>
        <v>12386</v>
      </c>
      <c r="T4" s="1"/>
      <c r="U4" s="1"/>
      <c r="V4" s="1"/>
      <c r="W4" s="1"/>
      <c r="Z4" s="4">
        <v>1.37</v>
      </c>
      <c r="AA4" s="4">
        <f t="shared" ref="AA4:AA43" si="1">IF(H4="USD",Z4,1)</f>
        <v>1</v>
      </c>
      <c r="AB4" s="1">
        <f t="shared" ref="AB4:AB68" si="2">SUM(L4:N4)</f>
        <v>12386</v>
      </c>
      <c r="AC4" s="1">
        <f t="shared" ref="AC4:AC43" si="3">IF(Q4="",0,Q4*AA4)</f>
        <v>0</v>
      </c>
      <c r="AD4" s="1">
        <f t="shared" ref="AD4:AD43" si="4">IF(Q4="",0,N4*AA4)</f>
        <v>0</v>
      </c>
      <c r="AE4" s="1">
        <f t="shared" ref="AE4:AE43" si="5">IF(N4="",0,N4-Q4)</f>
        <v>0</v>
      </c>
      <c r="AF4" s="1">
        <f t="shared" ref="AF4:AF43" si="6">IF(N4="",0,AE4*AA4)</f>
        <v>0</v>
      </c>
      <c r="AG4" s="7" t="str">
        <f t="shared" ref="AG4:AG43" si="7">IF(OR(N4=0,Q4=0),"",N4/Q4-1)</f>
        <v/>
      </c>
      <c r="AH4" s="1">
        <f t="shared" ref="AH4:AH43" si="8">AD4+P4</f>
        <v>12386</v>
      </c>
      <c r="AI4" s="1"/>
      <c r="AJ4" s="1"/>
      <c r="AK4" s="1"/>
    </row>
    <row r="5" spans="2:39" x14ac:dyDescent="0.45">
      <c r="B5" t="s">
        <v>38</v>
      </c>
      <c r="C5" t="s">
        <v>111</v>
      </c>
      <c r="D5" t="str">
        <f t="shared" ref="D5:D68" si="9">C5</f>
        <v>zCash</v>
      </c>
      <c r="E5" t="s">
        <v>6</v>
      </c>
      <c r="F5" t="s">
        <v>43</v>
      </c>
      <c r="G5" t="s">
        <v>5</v>
      </c>
      <c r="H5" t="s">
        <v>1</v>
      </c>
      <c r="I5" t="s">
        <v>5</v>
      </c>
      <c r="J5" t="s">
        <v>110</v>
      </c>
      <c r="L5" s="1">
        <v>0</v>
      </c>
      <c r="M5" s="1"/>
      <c r="N5" s="1">
        <v>18310</v>
      </c>
      <c r="O5" s="1">
        <f t="shared" si="0"/>
        <v>0</v>
      </c>
      <c r="P5" s="1">
        <f t="shared" ref="P5:P43" si="10">IF(H5="USD",O5*Z5,O5)</f>
        <v>0</v>
      </c>
      <c r="T5" s="1"/>
      <c r="U5" s="1"/>
      <c r="V5" s="1"/>
      <c r="W5" s="1"/>
      <c r="Z5" s="4">
        <v>1.37</v>
      </c>
      <c r="AA5" s="4">
        <f t="shared" si="1"/>
        <v>1.37</v>
      </c>
      <c r="AB5" s="1">
        <f t="shared" si="2"/>
        <v>18310</v>
      </c>
      <c r="AC5" s="1">
        <f t="shared" si="3"/>
        <v>0</v>
      </c>
      <c r="AD5" s="1">
        <f t="shared" si="4"/>
        <v>0</v>
      </c>
      <c r="AE5" s="1">
        <f t="shared" si="5"/>
        <v>18310</v>
      </c>
      <c r="AF5" s="1">
        <f t="shared" si="6"/>
        <v>25084.7</v>
      </c>
      <c r="AG5" s="7" t="str">
        <f t="shared" si="7"/>
        <v/>
      </c>
      <c r="AH5" s="1">
        <f t="shared" si="8"/>
        <v>0</v>
      </c>
      <c r="AI5" s="1"/>
      <c r="AJ5" s="1"/>
      <c r="AK5" s="1"/>
    </row>
    <row r="6" spans="2:39" x14ac:dyDescent="0.45">
      <c r="B6" t="s">
        <v>38</v>
      </c>
      <c r="C6" t="s">
        <v>88</v>
      </c>
      <c r="D6" t="str">
        <f t="shared" si="9"/>
        <v>CIFR</v>
      </c>
      <c r="E6" t="s">
        <v>6</v>
      </c>
      <c r="F6" t="s">
        <v>43</v>
      </c>
      <c r="G6" t="s">
        <v>5</v>
      </c>
      <c r="H6" t="s">
        <v>1</v>
      </c>
      <c r="I6" t="s">
        <v>41</v>
      </c>
      <c r="J6" s="2">
        <v>46052</v>
      </c>
      <c r="L6" s="1">
        <v>0</v>
      </c>
      <c r="M6" s="1"/>
      <c r="N6" s="1">
        <v>19924</v>
      </c>
      <c r="O6" s="1">
        <f t="shared" ref="O6:O7" si="11">L6+M6</f>
        <v>0</v>
      </c>
      <c r="P6" s="1">
        <f t="shared" ref="P6:P7" si="12">IF(H6="USD",O6*Z6,O6)</f>
        <v>0</v>
      </c>
      <c r="Q6" s="1">
        <v>9289.99</v>
      </c>
      <c r="S6" s="12">
        <v>16.017199999999999</v>
      </c>
      <c r="T6" s="1">
        <v>580</v>
      </c>
      <c r="U6" s="1"/>
      <c r="V6" s="1"/>
      <c r="W6" s="1"/>
      <c r="Z6" s="4">
        <v>1.37</v>
      </c>
      <c r="AA6" s="4">
        <f t="shared" ref="AA6:AA7" si="13">IF(H6="USD",Z6,1)</f>
        <v>1.37</v>
      </c>
      <c r="AB6" s="1">
        <f t="shared" ref="AB6:AB7" si="14">SUM(L6:N6)</f>
        <v>19924</v>
      </c>
      <c r="AC6" s="1">
        <f t="shared" ref="AC6:AC7" si="15">IF(Q6="",0,Q6*AA6)</f>
        <v>12727.286300000002</v>
      </c>
      <c r="AD6" s="1">
        <f t="shared" ref="AD6:AD7" si="16">IF(Q6="",0,N6*AA6)</f>
        <v>27295.88</v>
      </c>
      <c r="AE6" s="1">
        <f t="shared" ref="AE6:AE7" si="17">IF(N6="",0,N6-Q6)</f>
        <v>10634.01</v>
      </c>
      <c r="AF6" s="1">
        <f t="shared" ref="AF6:AF7" si="18">IF(N6="",0,AE6*AA6)</f>
        <v>14568.593700000001</v>
      </c>
      <c r="AG6" s="7">
        <f t="shared" ref="AG6:AG7" si="19">IF(OR(N6=0,Q6=0),"",N6/Q6-1)</f>
        <v>1.1446739985726575</v>
      </c>
      <c r="AH6" s="1">
        <f t="shared" ref="AH6:AH7" si="20">AD6+P6</f>
        <v>27295.88</v>
      </c>
      <c r="AI6" s="1"/>
      <c r="AJ6" s="1"/>
      <c r="AK6" s="1"/>
    </row>
    <row r="7" spans="2:39" x14ac:dyDescent="0.45">
      <c r="B7" t="s">
        <v>38</v>
      </c>
      <c r="C7" t="s">
        <v>105</v>
      </c>
      <c r="D7" t="str">
        <f t="shared" si="9"/>
        <v>UAMY</v>
      </c>
      <c r="E7" t="s">
        <v>6</v>
      </c>
      <c r="F7" t="s">
        <v>43</v>
      </c>
      <c r="G7" t="s">
        <v>5</v>
      </c>
      <c r="H7" t="s">
        <v>1</v>
      </c>
      <c r="I7" t="s">
        <v>41</v>
      </c>
      <c r="J7" s="2">
        <v>46052</v>
      </c>
      <c r="L7" s="1">
        <v>0</v>
      </c>
      <c r="M7" s="1"/>
      <c r="N7" s="1">
        <v>10198</v>
      </c>
      <c r="O7" s="1">
        <f t="shared" si="11"/>
        <v>0</v>
      </c>
      <c r="P7" s="1">
        <f t="shared" si="12"/>
        <v>0</v>
      </c>
      <c r="Q7" s="1">
        <v>9564.99</v>
      </c>
      <c r="S7" s="12">
        <v>7.3577000000000004</v>
      </c>
      <c r="T7" s="1">
        <v>1300</v>
      </c>
      <c r="U7" s="1"/>
      <c r="V7" s="1"/>
      <c r="W7" s="1"/>
      <c r="Z7" s="4">
        <v>1.37</v>
      </c>
      <c r="AA7" s="4">
        <f t="shared" si="13"/>
        <v>1.37</v>
      </c>
      <c r="AB7" s="1">
        <f t="shared" si="14"/>
        <v>10198</v>
      </c>
      <c r="AC7" s="1">
        <f t="shared" si="15"/>
        <v>13104.036300000002</v>
      </c>
      <c r="AD7" s="1">
        <f t="shared" si="16"/>
        <v>13971.26</v>
      </c>
      <c r="AE7" s="1">
        <f t="shared" si="17"/>
        <v>633.01000000000022</v>
      </c>
      <c r="AF7" s="1">
        <f t="shared" si="18"/>
        <v>867.22370000000035</v>
      </c>
      <c r="AG7" s="7">
        <f t="shared" si="19"/>
        <v>6.6179891458328699E-2</v>
      </c>
      <c r="AH7" s="1">
        <f t="shared" si="20"/>
        <v>13971.26</v>
      </c>
      <c r="AI7" s="1"/>
      <c r="AJ7" s="1"/>
      <c r="AK7" s="1"/>
    </row>
    <row r="8" spans="2:39" x14ac:dyDescent="0.45">
      <c r="B8" t="s">
        <v>38</v>
      </c>
      <c r="C8" t="s">
        <v>111</v>
      </c>
      <c r="D8" t="str">
        <f t="shared" si="9"/>
        <v>zCash</v>
      </c>
      <c r="E8" t="s">
        <v>6</v>
      </c>
      <c r="F8" t="s">
        <v>43</v>
      </c>
      <c r="G8" t="s">
        <v>0</v>
      </c>
      <c r="H8" t="s">
        <v>45</v>
      </c>
      <c r="I8" t="s">
        <v>5</v>
      </c>
      <c r="J8" t="s">
        <v>110</v>
      </c>
      <c r="L8" s="1"/>
      <c r="M8" s="1">
        <v>0</v>
      </c>
      <c r="O8" s="1">
        <f t="shared" si="0"/>
        <v>0</v>
      </c>
      <c r="P8" s="1">
        <f t="shared" si="10"/>
        <v>0</v>
      </c>
      <c r="T8" s="1"/>
      <c r="U8" s="1"/>
      <c r="V8" s="1"/>
      <c r="W8" s="1"/>
      <c r="Z8" s="4">
        <v>1.37</v>
      </c>
      <c r="AA8" s="4">
        <f t="shared" si="1"/>
        <v>1</v>
      </c>
      <c r="AB8" s="1">
        <f t="shared" si="2"/>
        <v>0</v>
      </c>
      <c r="AC8" s="1">
        <f t="shared" si="3"/>
        <v>0</v>
      </c>
      <c r="AD8" s="1">
        <f t="shared" si="4"/>
        <v>0</v>
      </c>
      <c r="AE8" s="1">
        <f t="shared" si="5"/>
        <v>0</v>
      </c>
      <c r="AF8" s="1">
        <f t="shared" si="6"/>
        <v>0</v>
      </c>
      <c r="AG8" s="7" t="str">
        <f t="shared" si="7"/>
        <v/>
      </c>
      <c r="AH8" s="1">
        <f t="shared" si="8"/>
        <v>0</v>
      </c>
      <c r="AI8" s="1"/>
      <c r="AJ8" s="1"/>
      <c r="AK8" s="1"/>
    </row>
    <row r="9" spans="2:39" x14ac:dyDescent="0.45">
      <c r="B9" t="s">
        <v>38</v>
      </c>
      <c r="C9" t="s">
        <v>111</v>
      </c>
      <c r="D9" t="str">
        <f t="shared" si="9"/>
        <v>zCash</v>
      </c>
      <c r="E9" t="s">
        <v>6</v>
      </c>
      <c r="F9" t="s">
        <v>43</v>
      </c>
      <c r="G9" t="s">
        <v>0</v>
      </c>
      <c r="H9" t="s">
        <v>1</v>
      </c>
      <c r="I9" t="s">
        <v>5</v>
      </c>
      <c r="J9" t="s">
        <v>110</v>
      </c>
      <c r="L9" s="1">
        <v>0</v>
      </c>
      <c r="M9" s="1">
        <v>0</v>
      </c>
      <c r="O9" s="1">
        <f t="shared" si="0"/>
        <v>0</v>
      </c>
      <c r="P9" s="1">
        <f t="shared" si="10"/>
        <v>0</v>
      </c>
      <c r="T9" s="1"/>
      <c r="U9" s="1"/>
      <c r="V9" s="1"/>
      <c r="W9" s="1"/>
      <c r="Z9" s="4">
        <v>1.37</v>
      </c>
      <c r="AA9" s="4">
        <f t="shared" si="1"/>
        <v>1.37</v>
      </c>
      <c r="AB9" s="1">
        <f t="shared" si="2"/>
        <v>0</v>
      </c>
      <c r="AC9" s="1">
        <f t="shared" si="3"/>
        <v>0</v>
      </c>
      <c r="AD9" s="1">
        <f t="shared" si="4"/>
        <v>0</v>
      </c>
      <c r="AE9" s="1">
        <f t="shared" si="5"/>
        <v>0</v>
      </c>
      <c r="AF9" s="1">
        <f t="shared" si="6"/>
        <v>0</v>
      </c>
      <c r="AG9" s="7" t="str">
        <f t="shared" si="7"/>
        <v/>
      </c>
      <c r="AH9" s="1">
        <f t="shared" si="8"/>
        <v>0</v>
      </c>
      <c r="AI9" s="1"/>
      <c r="AJ9" s="1"/>
      <c r="AK9" s="1"/>
    </row>
    <row r="10" spans="2:39" x14ac:dyDescent="0.45">
      <c r="B10" t="s">
        <v>38</v>
      </c>
      <c r="C10" t="s">
        <v>111</v>
      </c>
      <c r="D10" t="str">
        <f t="shared" si="9"/>
        <v>zCash</v>
      </c>
      <c r="E10" t="s">
        <v>6</v>
      </c>
      <c r="F10" t="s">
        <v>43</v>
      </c>
      <c r="G10" t="s">
        <v>8</v>
      </c>
      <c r="H10" t="s">
        <v>45</v>
      </c>
      <c r="I10" t="s">
        <v>5</v>
      </c>
      <c r="J10" t="s">
        <v>110</v>
      </c>
      <c r="L10" s="1"/>
      <c r="M10" s="27">
        <v>871</v>
      </c>
      <c r="O10" s="1">
        <f t="shared" si="0"/>
        <v>871</v>
      </c>
      <c r="P10" s="1">
        <f t="shared" si="10"/>
        <v>871</v>
      </c>
      <c r="T10" s="1"/>
      <c r="U10" s="1"/>
      <c r="V10" s="1"/>
      <c r="W10" s="1"/>
      <c r="Z10" s="4">
        <v>1.37</v>
      </c>
      <c r="AA10" s="4">
        <f t="shared" si="1"/>
        <v>1</v>
      </c>
      <c r="AB10" s="1">
        <f t="shared" si="2"/>
        <v>871</v>
      </c>
      <c r="AC10" s="1">
        <f t="shared" si="3"/>
        <v>0</v>
      </c>
      <c r="AD10" s="1">
        <f t="shared" si="4"/>
        <v>0</v>
      </c>
      <c r="AE10" s="1">
        <f t="shared" si="5"/>
        <v>0</v>
      </c>
      <c r="AF10" s="1">
        <f t="shared" si="6"/>
        <v>0</v>
      </c>
      <c r="AG10" s="7" t="str">
        <f t="shared" si="7"/>
        <v/>
      </c>
      <c r="AH10" s="1">
        <f t="shared" si="8"/>
        <v>871</v>
      </c>
      <c r="AI10" s="1"/>
      <c r="AJ10" s="1"/>
      <c r="AK10" s="1"/>
    </row>
    <row r="11" spans="2:39" x14ac:dyDescent="0.45">
      <c r="B11" t="s">
        <v>38</v>
      </c>
      <c r="C11" t="s">
        <v>116</v>
      </c>
      <c r="D11" t="s">
        <v>94</v>
      </c>
      <c r="E11" t="s">
        <v>6</v>
      </c>
      <c r="F11" t="s">
        <v>43</v>
      </c>
      <c r="G11" t="s">
        <v>8</v>
      </c>
      <c r="H11" t="s">
        <v>45</v>
      </c>
      <c r="I11" t="s">
        <v>41</v>
      </c>
      <c r="J11" s="2">
        <v>46126</v>
      </c>
      <c r="L11" s="1"/>
      <c r="M11" s="1"/>
      <c r="N11" s="1">
        <v>10589</v>
      </c>
      <c r="O11" s="1">
        <f t="shared" ref="O11" si="21">L11+M11</f>
        <v>0</v>
      </c>
      <c r="P11" s="1">
        <f t="shared" ref="P11" si="22">IF(H11="USD",O11*Z11,O11)</f>
        <v>0</v>
      </c>
      <c r="Q11" s="1">
        <v>11078</v>
      </c>
      <c r="S11" s="12">
        <v>27.695</v>
      </c>
      <c r="T11" s="1">
        <v>400</v>
      </c>
      <c r="U11" s="1"/>
      <c r="V11" s="1"/>
      <c r="W11" s="1"/>
      <c r="Z11" s="4">
        <v>1.37</v>
      </c>
      <c r="AA11" s="4">
        <f t="shared" ref="AA11" si="23">IF(H11="USD",Z11,1)</f>
        <v>1</v>
      </c>
      <c r="AB11" s="1">
        <f t="shared" si="2"/>
        <v>10589</v>
      </c>
      <c r="AC11" s="1">
        <f t="shared" ref="AC11" si="24">IF(Q11="",0,Q11*AA11)</f>
        <v>11078</v>
      </c>
      <c r="AD11" s="1">
        <f t="shared" ref="AD11" si="25">IF(Q11="",0,N11*AA11)</f>
        <v>10589</v>
      </c>
      <c r="AE11" s="1">
        <f t="shared" ref="AE11" si="26">IF(N11="",0,N11-Q11)</f>
        <v>-489</v>
      </c>
      <c r="AF11" s="1">
        <f t="shared" ref="AF11" si="27">IF(N11="",0,AE11*AA11)</f>
        <v>-489</v>
      </c>
      <c r="AG11" s="7">
        <f t="shared" ref="AG11" si="28">IF(OR(N11=0,Q11=0),"",N11/Q11-1)</f>
        <v>-4.4141541794547767E-2</v>
      </c>
      <c r="AH11" s="1">
        <f t="shared" ref="AH11" si="29">AD11+P11</f>
        <v>10589</v>
      </c>
      <c r="AI11" s="1"/>
      <c r="AJ11" s="1"/>
      <c r="AK11" s="1"/>
    </row>
    <row r="12" spans="2:39" x14ac:dyDescent="0.45">
      <c r="B12" t="s">
        <v>38</v>
      </c>
      <c r="C12" t="s">
        <v>111</v>
      </c>
      <c r="D12" t="str">
        <f t="shared" si="9"/>
        <v>zCash</v>
      </c>
      <c r="E12" t="s">
        <v>6</v>
      </c>
      <c r="F12" t="s">
        <v>43</v>
      </c>
      <c r="G12" t="s">
        <v>8</v>
      </c>
      <c r="H12" t="s">
        <v>1</v>
      </c>
      <c r="I12" t="s">
        <v>5</v>
      </c>
      <c r="J12" t="s">
        <v>110</v>
      </c>
      <c r="L12" s="1">
        <v>8004</v>
      </c>
      <c r="M12" s="1">
        <v>0</v>
      </c>
      <c r="O12" s="1">
        <f t="shared" si="0"/>
        <v>8004</v>
      </c>
      <c r="P12" s="1">
        <f t="shared" si="10"/>
        <v>10965.480000000001</v>
      </c>
      <c r="T12" s="1"/>
      <c r="U12" s="1"/>
      <c r="V12" s="1"/>
      <c r="W12" s="1"/>
      <c r="Z12" s="4">
        <v>1.37</v>
      </c>
      <c r="AA12" s="4">
        <f t="shared" si="1"/>
        <v>1.37</v>
      </c>
      <c r="AB12" s="1">
        <f t="shared" si="2"/>
        <v>8004</v>
      </c>
      <c r="AC12" s="1">
        <f t="shared" si="3"/>
        <v>0</v>
      </c>
      <c r="AD12" s="1">
        <f t="shared" si="4"/>
        <v>0</v>
      </c>
      <c r="AE12" s="1">
        <f t="shared" si="5"/>
        <v>0</v>
      </c>
      <c r="AF12" s="1">
        <f t="shared" si="6"/>
        <v>0</v>
      </c>
      <c r="AG12" s="7" t="str">
        <f t="shared" si="7"/>
        <v/>
      </c>
      <c r="AH12" s="1">
        <f t="shared" si="8"/>
        <v>10965.480000000001</v>
      </c>
      <c r="AI12" s="1"/>
      <c r="AJ12" s="1"/>
      <c r="AK12" s="1"/>
    </row>
    <row r="13" spans="2:39" x14ac:dyDescent="0.45">
      <c r="B13" t="s">
        <v>38</v>
      </c>
      <c r="C13" t="s">
        <v>111</v>
      </c>
      <c r="D13" t="str">
        <f t="shared" si="9"/>
        <v>zCash</v>
      </c>
      <c r="E13" t="s">
        <v>6</v>
      </c>
      <c r="F13" t="s">
        <v>43</v>
      </c>
      <c r="G13" t="s">
        <v>9</v>
      </c>
      <c r="H13" t="s">
        <v>45</v>
      </c>
      <c r="I13" t="s">
        <v>5</v>
      </c>
      <c r="J13" t="s">
        <v>110</v>
      </c>
      <c r="L13" s="1"/>
      <c r="M13" s="1">
        <f>3023+60</f>
        <v>3083</v>
      </c>
      <c r="O13" s="1">
        <f>L13+M13</f>
        <v>3083</v>
      </c>
      <c r="P13" s="1">
        <f t="shared" si="10"/>
        <v>3083</v>
      </c>
      <c r="T13" s="1"/>
      <c r="U13" s="1"/>
      <c r="V13" s="1"/>
      <c r="W13" s="1"/>
      <c r="Z13" s="4">
        <v>1.37</v>
      </c>
      <c r="AA13" s="4">
        <f t="shared" si="1"/>
        <v>1</v>
      </c>
      <c r="AB13" s="1">
        <f t="shared" si="2"/>
        <v>3083</v>
      </c>
      <c r="AC13" s="1">
        <f t="shared" si="3"/>
        <v>0</v>
      </c>
      <c r="AD13" s="1">
        <f t="shared" si="4"/>
        <v>0</v>
      </c>
      <c r="AE13" s="1">
        <f t="shared" si="5"/>
        <v>0</v>
      </c>
      <c r="AF13" s="1">
        <f t="shared" si="6"/>
        <v>0</v>
      </c>
      <c r="AG13" s="7" t="str">
        <f t="shared" si="7"/>
        <v/>
      </c>
      <c r="AH13" s="1">
        <f t="shared" si="8"/>
        <v>3083</v>
      </c>
      <c r="AI13" s="1"/>
      <c r="AJ13" s="1"/>
      <c r="AK13" s="1"/>
    </row>
    <row r="14" spans="2:39" x14ac:dyDescent="0.45">
      <c r="B14" t="s">
        <v>38</v>
      </c>
      <c r="C14" t="s">
        <v>120</v>
      </c>
      <c r="D14" t="s">
        <v>75</v>
      </c>
      <c r="E14" t="s">
        <v>6</v>
      </c>
      <c r="F14" t="s">
        <v>43</v>
      </c>
      <c r="G14" t="s">
        <v>9</v>
      </c>
      <c r="H14" t="s">
        <v>45</v>
      </c>
      <c r="I14" t="s">
        <v>41</v>
      </c>
      <c r="J14" s="2">
        <v>46010</v>
      </c>
      <c r="K14" s="2"/>
      <c r="L14" s="1"/>
      <c r="M14" s="1"/>
      <c r="N14" s="1">
        <v>23625</v>
      </c>
      <c r="O14" s="1"/>
      <c r="P14" s="1">
        <f t="shared" ref="P14" si="30">IF(H14="USD",O14*Z14,O14)</f>
        <v>0</v>
      </c>
      <c r="Q14" s="1">
        <v>19554.990000000002</v>
      </c>
      <c r="S14" s="11">
        <v>13.0367</v>
      </c>
      <c r="T14" s="1">
        <v>1500</v>
      </c>
      <c r="U14" s="1"/>
      <c r="V14" s="1"/>
      <c r="W14" s="1"/>
      <c r="Z14" s="4">
        <v>1.37</v>
      </c>
      <c r="AA14" s="4">
        <f t="shared" ref="AA14" si="31">IF(H14="USD",Z14,1)</f>
        <v>1</v>
      </c>
      <c r="AB14" s="1">
        <f t="shared" si="2"/>
        <v>23625</v>
      </c>
      <c r="AC14" s="1">
        <f t="shared" ref="AC14" si="32">IF(Q14="",0,Q14*AA14)</f>
        <v>19554.990000000002</v>
      </c>
      <c r="AD14" s="1">
        <f t="shared" ref="AD14" si="33">IF(Q14="",0,N14*AA14)</f>
        <v>23625</v>
      </c>
      <c r="AE14" s="1">
        <f t="shared" ref="AE14" si="34">IF(N14="",0,N14-Q14)</f>
        <v>4070.0099999999984</v>
      </c>
      <c r="AF14" s="1">
        <f t="shared" ref="AF14" si="35">IF(N14="",0,AE14*AA14)</f>
        <v>4070.0099999999984</v>
      </c>
      <c r="AG14" s="7">
        <f t="shared" ref="AG14" si="36">IF(OR(N14=0,Q14=0),"",N14/Q14-1)</f>
        <v>0.20813153062210721</v>
      </c>
      <c r="AH14" s="1">
        <f t="shared" ref="AH14" si="37">AD14+P14</f>
        <v>23625</v>
      </c>
      <c r="AI14" s="1"/>
      <c r="AJ14" s="1"/>
      <c r="AK14" s="1"/>
    </row>
    <row r="15" spans="2:39" x14ac:dyDescent="0.45">
      <c r="B15" t="s">
        <v>38</v>
      </c>
      <c r="C15" t="s">
        <v>122</v>
      </c>
      <c r="D15" t="str">
        <f t="shared" si="9"/>
        <v>IBIT.NE</v>
      </c>
      <c r="E15" t="s">
        <v>6</v>
      </c>
      <c r="F15" t="s">
        <v>43</v>
      </c>
      <c r="G15" t="s">
        <v>9</v>
      </c>
      <c r="H15" t="s">
        <v>45</v>
      </c>
      <c r="I15" t="s">
        <v>41</v>
      </c>
      <c r="J15" s="2">
        <v>45662</v>
      </c>
      <c r="K15" s="2"/>
      <c r="L15" s="1"/>
      <c r="M15" s="1"/>
      <c r="N15" s="1">
        <v>22360</v>
      </c>
      <c r="O15" s="1"/>
      <c r="P15" s="1">
        <f t="shared" ref="P15" si="38">IF(H15="USD",O15*Z15,O15)</f>
        <v>0</v>
      </c>
      <c r="Q15" s="1">
        <v>31980</v>
      </c>
      <c r="S15" s="12">
        <v>38.089199999999998</v>
      </c>
      <c r="T15" s="1">
        <v>847</v>
      </c>
      <c r="U15" s="1"/>
      <c r="V15" s="1"/>
      <c r="W15" s="1"/>
      <c r="Z15" s="4">
        <v>1.37</v>
      </c>
      <c r="AA15" s="4">
        <f t="shared" ref="AA15" si="39">IF(H15="USD",Z15,1)</f>
        <v>1</v>
      </c>
      <c r="AB15" s="1">
        <f t="shared" si="2"/>
        <v>22360</v>
      </c>
      <c r="AC15" s="1">
        <f t="shared" ref="AC15" si="40">IF(Q15="",0,Q15*AA15)</f>
        <v>31980</v>
      </c>
      <c r="AD15" s="1">
        <f t="shared" ref="AD15" si="41">IF(Q15="",0,N15*AA15)</f>
        <v>22360</v>
      </c>
      <c r="AE15" s="1">
        <f t="shared" ref="AE15" si="42">IF(N15="",0,N15-Q15)</f>
        <v>-9620</v>
      </c>
      <c r="AF15" s="1">
        <f t="shared" ref="AF15" si="43">IF(N15="",0,AE15*AA15)</f>
        <v>-9620</v>
      </c>
      <c r="AG15" s="7">
        <f t="shared" ref="AG15" si="44">IF(OR(N15=0,Q15=0),"",N15/Q15-1)</f>
        <v>-0.30081300813008127</v>
      </c>
      <c r="AH15" s="1">
        <f t="shared" ref="AH15" si="45">AD15+P15</f>
        <v>22360</v>
      </c>
      <c r="AI15" s="1"/>
      <c r="AJ15" s="1"/>
      <c r="AK15" s="1"/>
    </row>
    <row r="16" spans="2:39" x14ac:dyDescent="0.45">
      <c r="B16" t="s">
        <v>38</v>
      </c>
      <c r="C16" t="s">
        <v>121</v>
      </c>
      <c r="D16" t="s">
        <v>77</v>
      </c>
      <c r="E16" t="s">
        <v>6</v>
      </c>
      <c r="F16" t="s">
        <v>43</v>
      </c>
      <c r="G16" t="s">
        <v>9</v>
      </c>
      <c r="H16" t="s">
        <v>45</v>
      </c>
      <c r="I16" t="s">
        <v>41</v>
      </c>
      <c r="J16" s="2">
        <v>45663</v>
      </c>
      <c r="K16" s="2"/>
      <c r="L16" s="1"/>
      <c r="M16" s="1"/>
      <c r="N16" s="1">
        <v>14793</v>
      </c>
      <c r="O16" s="1"/>
      <c r="P16" s="1">
        <f>IF(H16="USD",O16*Z16,O16)</f>
        <v>0</v>
      </c>
      <c r="Q16" s="1">
        <v>15503</v>
      </c>
      <c r="S16" s="12">
        <v>33.196599999999997</v>
      </c>
      <c r="T16" s="1">
        <v>480</v>
      </c>
      <c r="U16" s="1"/>
      <c r="V16" s="1"/>
      <c r="W16" s="1"/>
      <c r="Z16" s="4">
        <v>1.37</v>
      </c>
      <c r="AA16" s="4">
        <f>IF(H16="USD",Z16,1)</f>
        <v>1</v>
      </c>
      <c r="AB16" s="1">
        <f t="shared" si="2"/>
        <v>14793</v>
      </c>
      <c r="AC16" s="1">
        <f>IF(Q16="",0,Q16*AA16)</f>
        <v>15503</v>
      </c>
      <c r="AD16" s="1">
        <f>IF(Q16="",0,N16*AA16)</f>
        <v>14793</v>
      </c>
      <c r="AE16" s="1">
        <f>IF(N16="",0,N16-Q16)</f>
        <v>-710</v>
      </c>
      <c r="AF16" s="1">
        <f>IF(N16="",0,AE16*AA16)</f>
        <v>-710</v>
      </c>
      <c r="AG16" s="7">
        <f>IF(OR(N16=0,Q16=0),"",N16/Q16-1)</f>
        <v>-4.579758756369734E-2</v>
      </c>
      <c r="AH16" s="1">
        <f>AD16+P16</f>
        <v>14793</v>
      </c>
      <c r="AI16" s="1"/>
      <c r="AJ16" s="1"/>
      <c r="AK16" s="1"/>
    </row>
    <row r="17" spans="2:37" x14ac:dyDescent="0.45">
      <c r="B17" t="s">
        <v>38</v>
      </c>
      <c r="C17" s="6" t="s">
        <v>117</v>
      </c>
      <c r="D17" s="6" t="s">
        <v>78</v>
      </c>
      <c r="E17" t="s">
        <v>6</v>
      </c>
      <c r="F17" t="s">
        <v>43</v>
      </c>
      <c r="G17" t="s">
        <v>9</v>
      </c>
      <c r="H17" t="s">
        <v>45</v>
      </c>
      <c r="I17" t="s">
        <v>41</v>
      </c>
      <c r="J17" s="2">
        <v>45657</v>
      </c>
      <c r="K17" s="2"/>
      <c r="L17" s="1"/>
      <c r="M17" s="1"/>
      <c r="N17" s="1">
        <v>147233</v>
      </c>
      <c r="O17" s="1"/>
      <c r="P17" s="1">
        <f>IF(H17="USD",O17*Z17,O17)</f>
        <v>0</v>
      </c>
      <c r="Q17" s="1">
        <v>10716</v>
      </c>
      <c r="S17" s="12">
        <v>19.353300000000001</v>
      </c>
      <c r="T17" s="1">
        <v>2900</v>
      </c>
      <c r="U17" s="1"/>
      <c r="V17" s="1"/>
      <c r="W17" s="1"/>
      <c r="Z17" s="4">
        <v>1.37</v>
      </c>
      <c r="AA17" s="4">
        <f>IF(H17="USD",Z17,1)</f>
        <v>1</v>
      </c>
      <c r="AB17" s="1">
        <f t="shared" si="2"/>
        <v>147233</v>
      </c>
      <c r="AC17" s="1">
        <f>IF(Q17="",0,Q17*AA17)</f>
        <v>10716</v>
      </c>
      <c r="AD17" s="1">
        <f>IF(Q17="",0,N17*AA17)</f>
        <v>147233</v>
      </c>
      <c r="AE17" s="1">
        <f>IF(N17="",0,N17-Q17)</f>
        <v>136517</v>
      </c>
      <c r="AF17" s="1">
        <f>IF(N17="",0,AE17*AA17)</f>
        <v>136517</v>
      </c>
      <c r="AG17" s="7">
        <f>IF(OR(N17=0,Q17=0),"",N17/Q17-1)</f>
        <v>12.739548338932437</v>
      </c>
      <c r="AH17" s="1">
        <f>AD17+P17</f>
        <v>147233</v>
      </c>
      <c r="AI17" s="1"/>
      <c r="AJ17" s="1"/>
      <c r="AK17" s="1"/>
    </row>
    <row r="18" spans="2:37" x14ac:dyDescent="0.45">
      <c r="B18" t="s">
        <v>38</v>
      </c>
      <c r="C18" t="s">
        <v>79</v>
      </c>
      <c r="D18" t="str">
        <f t="shared" si="9"/>
        <v>ONDS</v>
      </c>
      <c r="E18" t="s">
        <v>6</v>
      </c>
      <c r="F18" t="s">
        <v>43</v>
      </c>
      <c r="G18" t="s">
        <v>9</v>
      </c>
      <c r="H18" t="s">
        <v>45</v>
      </c>
      <c r="I18" t="s">
        <v>41</v>
      </c>
      <c r="J18" s="2">
        <v>45680</v>
      </c>
      <c r="K18" s="2"/>
      <c r="L18" s="1"/>
      <c r="M18" s="1"/>
      <c r="N18" s="1">
        <v>43936</v>
      </c>
      <c r="O18" s="1"/>
      <c r="P18" s="1">
        <f>IF(H18="USD",O18*Z18,O18)</f>
        <v>0</v>
      </c>
      <c r="Q18" s="1">
        <v>10566</v>
      </c>
      <c r="S18" s="11">
        <v>3.46</v>
      </c>
      <c r="T18" s="1">
        <v>3342</v>
      </c>
      <c r="U18" s="1"/>
      <c r="V18" s="1"/>
      <c r="W18" s="1"/>
      <c r="Z18" s="4">
        <v>1.37</v>
      </c>
      <c r="AA18" s="4">
        <f>IF(H18="USD",Z18,1)</f>
        <v>1</v>
      </c>
      <c r="AB18" s="1">
        <f t="shared" si="2"/>
        <v>43936</v>
      </c>
      <c r="AC18" s="1">
        <f>IF(Q18="",0,Q18*AA18)</f>
        <v>10566</v>
      </c>
      <c r="AD18" s="1">
        <f>IF(Q18="",0,N18*AA18)</f>
        <v>43936</v>
      </c>
      <c r="AE18" s="1">
        <f>IF(N18="",0,N18-Q18)</f>
        <v>33370</v>
      </c>
      <c r="AF18" s="1">
        <f>IF(N18="",0,AE18*AA18)</f>
        <v>33370</v>
      </c>
      <c r="AG18" s="7">
        <f>IF(OR(N18=0,Q18=0),"",N18/Q18-1)</f>
        <v>3.1582434222979368</v>
      </c>
      <c r="AH18" s="1">
        <f>AD18+P18</f>
        <v>43936</v>
      </c>
      <c r="AI18" s="1"/>
      <c r="AJ18" s="1"/>
      <c r="AK18" s="1"/>
    </row>
    <row r="19" spans="2:37" x14ac:dyDescent="0.45">
      <c r="B19" t="s">
        <v>38</v>
      </c>
      <c r="C19" t="s">
        <v>80</v>
      </c>
      <c r="D19" t="str">
        <f t="shared" si="9"/>
        <v>RR</v>
      </c>
      <c r="E19" t="s">
        <v>6</v>
      </c>
      <c r="F19" t="s">
        <v>43</v>
      </c>
      <c r="G19" t="s">
        <v>9</v>
      </c>
      <c r="H19" t="s">
        <v>45</v>
      </c>
      <c r="I19" t="s">
        <v>41</v>
      </c>
      <c r="J19" s="2">
        <v>45929</v>
      </c>
      <c r="K19" s="2"/>
      <c r="L19" s="1"/>
      <c r="M19" s="1"/>
      <c r="N19" s="1">
        <v>6069</v>
      </c>
      <c r="O19" s="1"/>
      <c r="P19" s="1">
        <f t="shared" ref="P19" si="46">IF(H19="USD",O19*Z19,O19)</f>
        <v>0</v>
      </c>
      <c r="Q19" s="1">
        <v>12463</v>
      </c>
      <c r="S19" s="12">
        <v>6.2313000000000001</v>
      </c>
      <c r="T19" s="1">
        <v>2000</v>
      </c>
      <c r="U19" s="1"/>
      <c r="V19" s="1"/>
      <c r="W19" s="1"/>
      <c r="Z19" s="4">
        <v>1.37</v>
      </c>
      <c r="AA19" s="4">
        <f t="shared" ref="AA19" si="47">IF(H19="USD",Z19,1)</f>
        <v>1</v>
      </c>
      <c r="AB19" s="1">
        <f t="shared" si="2"/>
        <v>6069</v>
      </c>
      <c r="AC19" s="1">
        <f t="shared" ref="AC19" si="48">IF(Q19="",0,Q19*AA19)</f>
        <v>12463</v>
      </c>
      <c r="AD19" s="1">
        <f t="shared" ref="AD19" si="49">IF(Q19="",0,N19*AA19)</f>
        <v>6069</v>
      </c>
      <c r="AE19" s="1">
        <f t="shared" ref="AE19" si="50">IF(N19="",0,N19-Q19)</f>
        <v>-6394</v>
      </c>
      <c r="AF19" s="1">
        <f t="shared" ref="AF19" si="51">IF(N19="",0,AE19*AA19)</f>
        <v>-6394</v>
      </c>
      <c r="AG19" s="7">
        <f t="shared" ref="AG19" si="52">IF(OR(N19=0,Q19=0),"",N19/Q19-1)</f>
        <v>-0.51303859423894727</v>
      </c>
      <c r="AH19" s="1">
        <f t="shared" ref="AH19" si="53">AD19+P19</f>
        <v>6069</v>
      </c>
      <c r="AI19" s="1"/>
      <c r="AJ19" s="1"/>
      <c r="AK19" s="1"/>
    </row>
    <row r="20" spans="2:37" x14ac:dyDescent="0.45">
      <c r="B20" t="s">
        <v>38</v>
      </c>
      <c r="C20" t="s">
        <v>111</v>
      </c>
      <c r="D20" t="str">
        <f t="shared" si="9"/>
        <v>zCash</v>
      </c>
      <c r="E20" t="s">
        <v>6</v>
      </c>
      <c r="F20" t="s">
        <v>40</v>
      </c>
      <c r="G20" t="s">
        <v>5</v>
      </c>
      <c r="H20" t="s">
        <v>45</v>
      </c>
      <c r="I20" t="s">
        <v>5</v>
      </c>
      <c r="J20" t="s">
        <v>110</v>
      </c>
      <c r="K20" s="2"/>
      <c r="L20" s="1">
        <v>0</v>
      </c>
      <c r="M20" s="1"/>
      <c r="O20" s="1">
        <f>L20+M20</f>
        <v>0</v>
      </c>
      <c r="P20" s="1">
        <f t="shared" si="10"/>
        <v>0</v>
      </c>
      <c r="T20" s="1"/>
      <c r="U20" s="1"/>
      <c r="V20" s="1"/>
      <c r="W20" s="1"/>
      <c r="Z20" s="4">
        <v>1.37</v>
      </c>
      <c r="AA20" s="4">
        <f t="shared" si="1"/>
        <v>1</v>
      </c>
      <c r="AB20" s="1">
        <f t="shared" si="2"/>
        <v>0</v>
      </c>
      <c r="AC20" s="1">
        <f t="shared" si="3"/>
        <v>0</v>
      </c>
      <c r="AD20" s="1">
        <f t="shared" si="4"/>
        <v>0</v>
      </c>
      <c r="AE20" s="1">
        <f t="shared" si="5"/>
        <v>0</v>
      </c>
      <c r="AF20" s="1">
        <f t="shared" si="6"/>
        <v>0</v>
      </c>
      <c r="AG20" s="7" t="str">
        <f t="shared" si="7"/>
        <v/>
      </c>
      <c r="AH20" s="1">
        <f t="shared" si="8"/>
        <v>0</v>
      </c>
      <c r="AI20" s="1"/>
      <c r="AJ20" s="1"/>
      <c r="AK20" s="1"/>
    </row>
    <row r="21" spans="2:37" x14ac:dyDescent="0.45">
      <c r="B21" t="s">
        <v>38</v>
      </c>
      <c r="C21" t="s">
        <v>111</v>
      </c>
      <c r="D21" t="str">
        <f t="shared" si="9"/>
        <v>zCash</v>
      </c>
      <c r="E21" t="s">
        <v>6</v>
      </c>
      <c r="F21" t="s">
        <v>40</v>
      </c>
      <c r="G21" t="s">
        <v>5</v>
      </c>
      <c r="H21" t="s">
        <v>1</v>
      </c>
      <c r="I21" t="s">
        <v>5</v>
      </c>
      <c r="J21" t="s">
        <v>110</v>
      </c>
      <c r="K21" s="2"/>
      <c r="L21" s="1"/>
      <c r="M21" s="1"/>
      <c r="O21" s="1">
        <f>L21+M21</f>
        <v>0</v>
      </c>
      <c r="P21" s="1">
        <f t="shared" si="10"/>
        <v>0</v>
      </c>
      <c r="T21" s="1"/>
      <c r="U21" s="1"/>
      <c r="V21" s="1"/>
      <c r="W21" s="1"/>
      <c r="Z21" s="4">
        <v>1.37</v>
      </c>
      <c r="AA21" s="4">
        <f t="shared" si="1"/>
        <v>1.37</v>
      </c>
      <c r="AB21" s="1">
        <f t="shared" si="2"/>
        <v>0</v>
      </c>
      <c r="AC21" s="1">
        <f t="shared" si="3"/>
        <v>0</v>
      </c>
      <c r="AD21" s="1">
        <f t="shared" si="4"/>
        <v>0</v>
      </c>
      <c r="AE21" s="1">
        <f t="shared" si="5"/>
        <v>0</v>
      </c>
      <c r="AF21" s="1">
        <f t="shared" si="6"/>
        <v>0</v>
      </c>
      <c r="AG21" s="7" t="str">
        <f t="shared" si="7"/>
        <v/>
      </c>
      <c r="AH21" s="1">
        <f t="shared" si="8"/>
        <v>0</v>
      </c>
      <c r="AI21" s="1"/>
      <c r="AJ21" s="1"/>
      <c r="AK21" s="1"/>
    </row>
    <row r="22" spans="2:37" x14ac:dyDescent="0.45">
      <c r="B22" t="s">
        <v>38</v>
      </c>
      <c r="C22" t="s">
        <v>81</v>
      </c>
      <c r="D22" t="s">
        <v>81</v>
      </c>
      <c r="E22" t="s">
        <v>6</v>
      </c>
      <c r="F22" t="s">
        <v>40</v>
      </c>
      <c r="G22" t="s">
        <v>5</v>
      </c>
      <c r="H22" t="s">
        <v>1</v>
      </c>
      <c r="I22" t="s">
        <v>41</v>
      </c>
      <c r="J22" s="2">
        <v>43101</v>
      </c>
      <c r="L22" s="1">
        <v>0</v>
      </c>
      <c r="M22" s="1"/>
      <c r="N22" s="1">
        <v>43990</v>
      </c>
      <c r="O22" s="1">
        <f t="shared" ref="O22" si="54">L22+M22</f>
        <v>0</v>
      </c>
      <c r="P22" s="1">
        <f>IF(H22="USD",O22*Z22,O22)</f>
        <v>0</v>
      </c>
      <c r="Q22" s="1">
        <v>30106</v>
      </c>
      <c r="S22" s="12">
        <v>105.0198</v>
      </c>
      <c r="T22" s="1">
        <v>180</v>
      </c>
      <c r="U22" s="1"/>
      <c r="V22" s="1"/>
      <c r="W22" s="1"/>
      <c r="Z22" s="4">
        <v>1.37</v>
      </c>
      <c r="AA22" s="4">
        <f>IF(H22="USD",Z22,1)</f>
        <v>1.37</v>
      </c>
      <c r="AB22" s="1">
        <f t="shared" si="2"/>
        <v>43990</v>
      </c>
      <c r="AC22" s="1">
        <f>IF(Q22="",0,Q22*AA22)</f>
        <v>41245.22</v>
      </c>
      <c r="AD22" s="1">
        <f>IF(Q22="",0,N22*AA22)</f>
        <v>60266.3</v>
      </c>
      <c r="AE22" s="1">
        <f>IF(N22="",0,N22-Q22)</f>
        <v>13884</v>
      </c>
      <c r="AF22" s="1">
        <f>IF(N22="",0,AE22*AA22)</f>
        <v>19021.080000000002</v>
      </c>
      <c r="AG22" s="7">
        <f>IF(OR(N22=0,Q22=0),"",N22/Q22-1)</f>
        <v>0.4611705307912044</v>
      </c>
      <c r="AH22" s="1">
        <f>AD22+P22</f>
        <v>60266.3</v>
      </c>
      <c r="AI22" s="1"/>
      <c r="AJ22" s="1"/>
      <c r="AK22" s="1"/>
    </row>
    <row r="23" spans="2:37" x14ac:dyDescent="0.45">
      <c r="B23" t="s">
        <v>38</v>
      </c>
      <c r="C23" t="s">
        <v>92</v>
      </c>
      <c r="D23" t="str">
        <f t="shared" si="9"/>
        <v>GLDM</v>
      </c>
      <c r="E23" t="s">
        <v>6</v>
      </c>
      <c r="F23" t="s">
        <v>40</v>
      </c>
      <c r="G23" t="s">
        <v>5</v>
      </c>
      <c r="H23" t="s">
        <v>1</v>
      </c>
      <c r="I23" t="s">
        <v>41</v>
      </c>
      <c r="J23" s="2">
        <v>45292</v>
      </c>
      <c r="L23" s="1">
        <v>0</v>
      </c>
      <c r="M23" s="1"/>
      <c r="N23" s="1">
        <v>6925</v>
      </c>
      <c r="O23" s="1">
        <f t="shared" ref="O23" si="55">L23+M23</f>
        <v>0</v>
      </c>
      <c r="P23" s="1">
        <f>IF(H23="USD",O23*Z23,O23)</f>
        <v>0</v>
      </c>
      <c r="Q23" s="1">
        <v>8716</v>
      </c>
      <c r="S23" s="12">
        <v>105.0198</v>
      </c>
      <c r="T23" s="1">
        <v>83</v>
      </c>
      <c r="U23" s="1"/>
      <c r="V23" s="1"/>
      <c r="W23" s="1"/>
      <c r="Z23" s="4">
        <v>1.37</v>
      </c>
      <c r="AA23" s="4">
        <f>IF(H23="USD",Z23,1)</f>
        <v>1.37</v>
      </c>
      <c r="AB23" s="1">
        <f t="shared" ref="AB23" si="56">SUM(L23:N23)</f>
        <v>6925</v>
      </c>
      <c r="AC23" s="1">
        <f>IF(Q23="",0,Q23*AA23)</f>
        <v>11940.92</v>
      </c>
      <c r="AD23" s="1">
        <f>IF(Q23="",0,N23*AA23)</f>
        <v>9487.25</v>
      </c>
      <c r="AE23" s="1">
        <f>IF(N23="",0,N23-Q23)</f>
        <v>-1791</v>
      </c>
      <c r="AF23" s="1">
        <f>IF(N23="",0,AE23*AA23)</f>
        <v>-2453.67</v>
      </c>
      <c r="AG23" s="7">
        <f>IF(OR(N23=0,Q23=0),"",N23/Q23-1)</f>
        <v>-0.2054841670491051</v>
      </c>
      <c r="AH23" s="1">
        <f>AD23+P23</f>
        <v>9487.25</v>
      </c>
      <c r="AI23" s="1"/>
      <c r="AJ23" s="1"/>
      <c r="AK23" s="1"/>
    </row>
    <row r="24" spans="2:37" x14ac:dyDescent="0.45">
      <c r="B24" t="s">
        <v>38</v>
      </c>
      <c r="C24" t="s">
        <v>104</v>
      </c>
      <c r="D24" t="str">
        <f t="shared" si="9"/>
        <v>UMAC</v>
      </c>
      <c r="E24" t="s">
        <v>6</v>
      </c>
      <c r="F24" t="s">
        <v>40</v>
      </c>
      <c r="G24" t="s">
        <v>5</v>
      </c>
      <c r="H24" t="s">
        <v>1</v>
      </c>
      <c r="I24" t="s">
        <v>41</v>
      </c>
      <c r="J24" s="2">
        <v>45678</v>
      </c>
      <c r="L24" s="1">
        <v>0</v>
      </c>
      <c r="M24" s="1"/>
      <c r="N24" s="1">
        <v>15009</v>
      </c>
      <c r="O24" s="1">
        <f t="shared" ref="O24" si="57">L24+M24</f>
        <v>0</v>
      </c>
      <c r="P24" s="1">
        <f>IF(H24="USD",O24*Z24,O24)</f>
        <v>0</v>
      </c>
      <c r="Q24" s="1">
        <f>600*15.98</f>
        <v>9588</v>
      </c>
      <c r="S24" s="12">
        <v>16.72</v>
      </c>
      <c r="T24" s="1">
        <v>600</v>
      </c>
      <c r="U24" s="1"/>
      <c r="V24" s="1"/>
      <c r="W24" s="1"/>
      <c r="Z24" s="4">
        <v>1.37</v>
      </c>
      <c r="AA24" s="4">
        <f>IF(H24="USD",Z24,1)</f>
        <v>1.37</v>
      </c>
      <c r="AB24" s="1">
        <f t="shared" ref="AB24" si="58">SUM(L24:N24)</f>
        <v>15009</v>
      </c>
      <c r="AC24" s="1">
        <f>IF(Q24="",0,Q24*AA24)</f>
        <v>13135.560000000001</v>
      </c>
      <c r="AD24" s="1">
        <f>IF(Q24="",0,N24*AA24)</f>
        <v>20562.330000000002</v>
      </c>
      <c r="AE24" s="1">
        <f>IF(N24="",0,N24-Q24)</f>
        <v>5421</v>
      </c>
      <c r="AF24" s="1">
        <f>IF(N24="",0,AE24*AA24)</f>
        <v>7426.77</v>
      </c>
      <c r="AG24" s="7">
        <f>IF(OR(N24=0,Q24=0),"",N24/Q24-1)</f>
        <v>0.56539424280350437</v>
      </c>
      <c r="AH24" s="1">
        <f>AD24+P24</f>
        <v>20562.330000000002</v>
      </c>
      <c r="AI24" s="1"/>
      <c r="AJ24" s="1"/>
      <c r="AK24" s="1"/>
    </row>
    <row r="25" spans="2:37" x14ac:dyDescent="0.45">
      <c r="B25" t="s">
        <v>38</v>
      </c>
      <c r="C25" t="s">
        <v>111</v>
      </c>
      <c r="D25" t="str">
        <f t="shared" si="9"/>
        <v>zCash</v>
      </c>
      <c r="E25" t="s">
        <v>6</v>
      </c>
      <c r="F25" t="s">
        <v>40</v>
      </c>
      <c r="G25" t="s">
        <v>0</v>
      </c>
      <c r="H25" t="s">
        <v>45</v>
      </c>
      <c r="I25" t="s">
        <v>5</v>
      </c>
      <c r="J25" t="s">
        <v>110</v>
      </c>
      <c r="K25" s="2"/>
      <c r="L25" s="1">
        <v>8.4600000000000009</v>
      </c>
      <c r="M25" s="1"/>
      <c r="N25" s="1" t="s">
        <v>106</v>
      </c>
      <c r="O25" s="1">
        <f>L25+M25</f>
        <v>8.4600000000000009</v>
      </c>
      <c r="P25" s="1">
        <f t="shared" si="10"/>
        <v>8.4600000000000009</v>
      </c>
      <c r="T25" s="1"/>
      <c r="U25" s="1"/>
      <c r="V25" s="1"/>
      <c r="W25" s="1"/>
      <c r="Z25" s="4">
        <v>1.37</v>
      </c>
      <c r="AA25" s="4">
        <f t="shared" si="1"/>
        <v>1</v>
      </c>
      <c r="AB25" s="1">
        <f t="shared" si="2"/>
        <v>8.4600000000000009</v>
      </c>
      <c r="AC25" s="1">
        <f t="shared" si="3"/>
        <v>0</v>
      </c>
      <c r="AD25" s="1">
        <f t="shared" si="4"/>
        <v>0</v>
      </c>
      <c r="AE25" s="1" t="e">
        <f t="shared" si="5"/>
        <v>#VALUE!</v>
      </c>
      <c r="AF25" s="1" t="e">
        <f t="shared" si="6"/>
        <v>#VALUE!</v>
      </c>
      <c r="AG25" s="7" t="str">
        <f t="shared" si="7"/>
        <v/>
      </c>
      <c r="AH25" s="1">
        <f t="shared" si="8"/>
        <v>8.4600000000000009</v>
      </c>
      <c r="AI25" s="1"/>
      <c r="AJ25" s="1"/>
      <c r="AK25" s="1"/>
    </row>
    <row r="26" spans="2:37" x14ac:dyDescent="0.45">
      <c r="B26" t="s">
        <v>38</v>
      </c>
      <c r="C26" t="s">
        <v>111</v>
      </c>
      <c r="D26" t="str">
        <f t="shared" si="9"/>
        <v>zCash</v>
      </c>
      <c r="E26" t="s">
        <v>6</v>
      </c>
      <c r="F26" t="s">
        <v>40</v>
      </c>
      <c r="G26" t="s">
        <v>0</v>
      </c>
      <c r="H26" t="s">
        <v>1</v>
      </c>
      <c r="I26" t="s">
        <v>5</v>
      </c>
      <c r="J26" t="s">
        <v>110</v>
      </c>
      <c r="L26" s="1">
        <v>0</v>
      </c>
      <c r="M26" s="1"/>
      <c r="O26" s="1">
        <f>L26+M26</f>
        <v>0</v>
      </c>
      <c r="P26" s="1">
        <f t="shared" si="10"/>
        <v>0</v>
      </c>
      <c r="T26" s="1"/>
      <c r="U26" s="1"/>
      <c r="V26" s="1"/>
      <c r="W26" s="1"/>
      <c r="Z26" s="4">
        <v>1.37</v>
      </c>
      <c r="AA26" s="4">
        <f t="shared" si="1"/>
        <v>1.37</v>
      </c>
      <c r="AB26" s="1">
        <f t="shared" si="2"/>
        <v>0</v>
      </c>
      <c r="AC26" s="1">
        <f t="shared" si="3"/>
        <v>0</v>
      </c>
      <c r="AD26" s="1">
        <f t="shared" si="4"/>
        <v>0</v>
      </c>
      <c r="AE26" s="1">
        <f t="shared" si="5"/>
        <v>0</v>
      </c>
      <c r="AF26" s="1">
        <f t="shared" si="6"/>
        <v>0</v>
      </c>
      <c r="AG26" s="7" t="str">
        <f t="shared" si="7"/>
        <v/>
      </c>
      <c r="AH26" s="1">
        <f t="shared" si="8"/>
        <v>0</v>
      </c>
      <c r="AI26" s="1"/>
      <c r="AJ26" s="1"/>
      <c r="AK26" s="1"/>
    </row>
    <row r="27" spans="2:37" x14ac:dyDescent="0.45">
      <c r="B27" t="s">
        <v>38</v>
      </c>
      <c r="C27" t="s">
        <v>82</v>
      </c>
      <c r="D27" t="str">
        <f t="shared" si="9"/>
        <v>IREN</v>
      </c>
      <c r="E27" t="s">
        <v>6</v>
      </c>
      <c r="F27" t="s">
        <v>40</v>
      </c>
      <c r="G27" t="s">
        <v>0</v>
      </c>
      <c r="H27" t="s">
        <v>1</v>
      </c>
      <c r="I27" t="s">
        <v>41</v>
      </c>
      <c r="J27" s="2">
        <v>45974</v>
      </c>
      <c r="L27" s="1">
        <v>0</v>
      </c>
      <c r="M27" s="1">
        <v>0</v>
      </c>
      <c r="N27" s="1">
        <v>27521</v>
      </c>
      <c r="O27" s="1">
        <f t="shared" ref="O27" si="59">L27+M27</f>
        <v>0</v>
      </c>
      <c r="P27" s="1">
        <f t="shared" ref="P27" si="60">IF(H27="USD",O27*Z27,O27)</f>
        <v>0</v>
      </c>
      <c r="Q27" s="1">
        <v>19802</v>
      </c>
      <c r="S27" s="12">
        <v>43.143700000000003</v>
      </c>
      <c r="T27" s="1">
        <v>459</v>
      </c>
      <c r="U27" s="1"/>
      <c r="V27" s="1"/>
      <c r="W27" s="1"/>
      <c r="Z27" s="4">
        <v>1.37</v>
      </c>
      <c r="AA27" s="4">
        <f t="shared" ref="AA27" si="61">IF(H27="USD",Z27,1)</f>
        <v>1.37</v>
      </c>
      <c r="AB27" s="1">
        <f t="shared" si="2"/>
        <v>27521</v>
      </c>
      <c r="AC27" s="1">
        <f t="shared" ref="AC27" si="62">IF(Q27="",0,Q27*AA27)</f>
        <v>27128.74</v>
      </c>
      <c r="AD27" s="1">
        <f t="shared" ref="AD27" si="63">IF(Q27="",0,N27*AA27)</f>
        <v>37703.770000000004</v>
      </c>
      <c r="AE27" s="1">
        <f t="shared" ref="AE27" si="64">IF(N27="",0,N27-Q27)</f>
        <v>7719</v>
      </c>
      <c r="AF27" s="1">
        <f t="shared" ref="AF27" si="65">IF(N27="",0,AE27*AA27)</f>
        <v>10575.03</v>
      </c>
      <c r="AG27" s="7">
        <f t="shared" ref="AG27" si="66">IF(OR(N27=0,Q27=0),"",N27/Q27-1)</f>
        <v>0.38980911019088982</v>
      </c>
      <c r="AH27" s="1">
        <f t="shared" ref="AH27" si="67">AD27+P27</f>
        <v>37703.770000000004</v>
      </c>
      <c r="AI27" s="1"/>
      <c r="AJ27" s="1"/>
      <c r="AK27" s="1"/>
    </row>
    <row r="28" spans="2:37" x14ac:dyDescent="0.45">
      <c r="B28" t="s">
        <v>38</v>
      </c>
      <c r="C28" t="s">
        <v>79</v>
      </c>
      <c r="D28" t="str">
        <f t="shared" si="9"/>
        <v>ONDS</v>
      </c>
      <c r="E28" t="s">
        <v>6</v>
      </c>
      <c r="F28" t="s">
        <v>40</v>
      </c>
      <c r="G28" t="s">
        <v>0</v>
      </c>
      <c r="H28" t="s">
        <v>1</v>
      </c>
      <c r="I28" t="s">
        <v>41</v>
      </c>
      <c r="J28" s="2">
        <v>45646</v>
      </c>
      <c r="K28" s="2"/>
      <c r="L28" s="1"/>
      <c r="M28" s="1"/>
      <c r="N28" s="1">
        <v>13905</v>
      </c>
      <c r="O28" s="1"/>
      <c r="P28" s="1">
        <f>IF(H28="USD",O28*Z28,O28)</f>
        <v>0</v>
      </c>
      <c r="Q28" s="1">
        <v>5399.7</v>
      </c>
      <c r="S28" s="12">
        <v>3.5998000000000001</v>
      </c>
      <c r="T28" s="1">
        <v>1500</v>
      </c>
      <c r="U28" s="1"/>
      <c r="V28" s="1"/>
      <c r="W28" s="1"/>
      <c r="Z28" s="4">
        <v>1.37</v>
      </c>
      <c r="AA28" s="4">
        <f>IF(H28="USD",Z28,1)</f>
        <v>1.37</v>
      </c>
      <c r="AB28" s="1">
        <f t="shared" si="2"/>
        <v>13905</v>
      </c>
      <c r="AC28" s="1">
        <f>IF(Q28="",0,Q28*AA28)</f>
        <v>7397.5889999999999</v>
      </c>
      <c r="AD28" s="1">
        <f>IF(Q28="",0,N28*AA28)</f>
        <v>19049.850000000002</v>
      </c>
      <c r="AE28" s="1">
        <f>IF(N28="",0,N28-Q28)</f>
        <v>8505.2999999999993</v>
      </c>
      <c r="AF28" s="1">
        <f>IF(N28="",0,AE28*AA28)</f>
        <v>11652.261</v>
      </c>
      <c r="AG28" s="7">
        <f>IF(OR(N28=0,Q28=0),"",N28/Q28-1)</f>
        <v>1.575143063503528</v>
      </c>
      <c r="AH28" s="1">
        <f>AD28+P28</f>
        <v>19049.850000000002</v>
      </c>
      <c r="AI28" s="1"/>
      <c r="AJ28" s="1"/>
      <c r="AK28" s="1"/>
    </row>
    <row r="29" spans="2:37" x14ac:dyDescent="0.45">
      <c r="B29" t="s">
        <v>38</v>
      </c>
      <c r="C29" t="s">
        <v>80</v>
      </c>
      <c r="D29" t="str">
        <f t="shared" si="9"/>
        <v>RR</v>
      </c>
      <c r="E29" t="s">
        <v>6</v>
      </c>
      <c r="F29" t="s">
        <v>40</v>
      </c>
      <c r="G29" t="s">
        <v>0</v>
      </c>
      <c r="H29" t="s">
        <v>1</v>
      </c>
      <c r="I29" t="s">
        <v>41</v>
      </c>
      <c r="L29" s="1"/>
      <c r="M29" s="1"/>
      <c r="N29" s="1">
        <v>470</v>
      </c>
      <c r="O29" s="1">
        <f>L29+M29</f>
        <v>0</v>
      </c>
      <c r="P29" s="1">
        <f t="shared" ref="P29" si="68">IF(H29="USD",O29*Z29,O29)</f>
        <v>0</v>
      </c>
      <c r="Q29" s="1">
        <v>935</v>
      </c>
      <c r="S29" s="12">
        <v>4.25</v>
      </c>
      <c r="T29" s="1">
        <v>220</v>
      </c>
      <c r="U29" s="1"/>
      <c r="V29" s="1"/>
      <c r="W29" s="1"/>
      <c r="Z29" s="4">
        <v>1.37</v>
      </c>
      <c r="AA29" s="4">
        <f t="shared" ref="AA29" si="69">IF(H29="USD",Z29,1)</f>
        <v>1.37</v>
      </c>
      <c r="AB29" s="1">
        <f t="shared" si="2"/>
        <v>470</v>
      </c>
      <c r="AC29" s="1">
        <f t="shared" ref="AC29" si="70">IF(Q29="",0,Q29*AA29)</f>
        <v>1280.95</v>
      </c>
      <c r="AD29" s="1">
        <f t="shared" ref="AD29" si="71">IF(Q29="",0,N29*AA29)</f>
        <v>643.90000000000009</v>
      </c>
      <c r="AE29" s="1">
        <f t="shared" ref="AE29" si="72">IF(N29="",0,N29-Q29)</f>
        <v>-465</v>
      </c>
      <c r="AF29" s="1">
        <f t="shared" ref="AF29" si="73">IF(N29="",0,AE29*AA29)</f>
        <v>-637.05000000000007</v>
      </c>
      <c r="AG29" s="7">
        <f t="shared" ref="AG29" si="74">IF(OR(N29=0,Q29=0),"",N29/Q29-1)</f>
        <v>-0.49732620320855614</v>
      </c>
      <c r="AH29" s="1">
        <f t="shared" ref="AH29" si="75">AD29+P29</f>
        <v>643.90000000000009</v>
      </c>
      <c r="AI29" s="1"/>
      <c r="AJ29" s="1"/>
      <c r="AK29" s="1"/>
    </row>
    <row r="30" spans="2:37" x14ac:dyDescent="0.45">
      <c r="B30" t="s">
        <v>84</v>
      </c>
      <c r="C30" t="s">
        <v>49</v>
      </c>
      <c r="D30" t="str">
        <f>C30</f>
        <v>TSLA</v>
      </c>
      <c r="E30" t="s">
        <v>6</v>
      </c>
      <c r="F30" t="s">
        <v>40</v>
      </c>
      <c r="G30" t="s">
        <v>0</v>
      </c>
      <c r="H30" t="s">
        <v>1</v>
      </c>
      <c r="I30" t="s">
        <v>41</v>
      </c>
      <c r="J30" s="2">
        <v>45714</v>
      </c>
      <c r="K30" s="2"/>
      <c r="L30" s="1"/>
      <c r="M30" s="1"/>
      <c r="N30" s="1">
        <v>11213</v>
      </c>
      <c r="O30" s="1">
        <f>L30+M30</f>
        <v>0</v>
      </c>
      <c r="P30" s="1">
        <f>IF(H30="USD",O30*Z30,O30)</f>
        <v>0</v>
      </c>
      <c r="Q30" s="1">
        <v>9075.7999999999993</v>
      </c>
      <c r="S30" s="12">
        <v>324.13569999999999</v>
      </c>
      <c r="T30" s="1">
        <v>28</v>
      </c>
      <c r="U30" s="1"/>
      <c r="V30" s="1"/>
      <c r="W30" s="1"/>
      <c r="Z30" s="4">
        <v>1.37</v>
      </c>
      <c r="AA30" s="4">
        <f>IF(H30="USD",Z30,1)</f>
        <v>1.37</v>
      </c>
      <c r="AB30" s="1">
        <f>SUM(L30:N30)</f>
        <v>11213</v>
      </c>
      <c r="AC30" s="1">
        <f>IF(Q30="",0,Q30*AA30)</f>
        <v>12433.846</v>
      </c>
      <c r="AD30" s="1">
        <f>IF(Q30="",0,N30*AA30)</f>
        <v>15361.810000000001</v>
      </c>
      <c r="AE30" s="1">
        <f>IF(N30="",0,N30-Q30)</f>
        <v>2137.2000000000007</v>
      </c>
      <c r="AF30" s="1">
        <f>IF(N30="",0,AE30*AA30)</f>
        <v>2927.9640000000013</v>
      </c>
      <c r="AG30" s="7">
        <f>IF(OR(N30=0,Q30=0),"",N30/Q30-1)</f>
        <v>0.23548337336653535</v>
      </c>
      <c r="AH30" s="1">
        <f>AD30+P30</f>
        <v>15361.810000000001</v>
      </c>
      <c r="AI30" s="1"/>
      <c r="AJ30" s="1"/>
      <c r="AK30" s="1"/>
    </row>
    <row r="31" spans="2:37" x14ac:dyDescent="0.45">
      <c r="B31" t="s">
        <v>38</v>
      </c>
      <c r="C31" t="s">
        <v>83</v>
      </c>
      <c r="D31" t="str">
        <f>C31</f>
        <v>PATH</v>
      </c>
      <c r="E31" t="s">
        <v>6</v>
      </c>
      <c r="F31" t="s">
        <v>40</v>
      </c>
      <c r="G31" t="s">
        <v>0</v>
      </c>
      <c r="H31" t="s">
        <v>1</v>
      </c>
      <c r="I31" t="s">
        <v>41</v>
      </c>
      <c r="J31" s="2">
        <v>46037</v>
      </c>
      <c r="K31" s="2"/>
      <c r="L31" s="1"/>
      <c r="M31" s="1"/>
      <c r="N31" s="1">
        <v>5024</v>
      </c>
      <c r="O31" s="1"/>
      <c r="P31" s="1">
        <f>IF(H31="USD",O31*Z31,O31)</f>
        <v>0</v>
      </c>
      <c r="Q31" s="1">
        <f>2416+14.33*330</f>
        <v>7144.9</v>
      </c>
      <c r="S31" s="12">
        <f>Q31/(330+160)</f>
        <v>14.581428571428571</v>
      </c>
      <c r="T31" s="1">
        <f>330+160</f>
        <v>490</v>
      </c>
      <c r="U31" s="1"/>
      <c r="V31" s="1"/>
      <c r="W31" s="1"/>
      <c r="Z31" s="4">
        <v>1.37</v>
      </c>
      <c r="AA31" s="4">
        <f>IF(H31="USD",Z31,1)</f>
        <v>1.37</v>
      </c>
      <c r="AB31" s="1">
        <f t="shared" ref="AB31" si="76">SUM(L31:N31)</f>
        <v>5024</v>
      </c>
      <c r="AC31" s="1">
        <f>IF(Q31="",0,Q31*AA31)</f>
        <v>9788.5130000000008</v>
      </c>
      <c r="AD31" s="1">
        <f>IF(Q31="",0,N31*AA31)</f>
        <v>6882.88</v>
      </c>
      <c r="AE31" s="1">
        <f>IF(N31="",0,N31-Q31)</f>
        <v>-2120.8999999999996</v>
      </c>
      <c r="AF31" s="1">
        <f>IF(N31="",0,AE31*AA31)</f>
        <v>-2905.6329999999998</v>
      </c>
      <c r="AG31" s="7">
        <f>IF(OR(N31=0,Q31=0),"",N31/Q31-1)</f>
        <v>-0.29684110344441483</v>
      </c>
      <c r="AH31" s="1">
        <f>AD31+P31</f>
        <v>6882.88</v>
      </c>
      <c r="AI31" s="1"/>
      <c r="AJ31" s="1"/>
      <c r="AK31" s="1"/>
    </row>
    <row r="32" spans="2:37" x14ac:dyDescent="0.45">
      <c r="B32" t="s">
        <v>38</v>
      </c>
      <c r="C32" t="s">
        <v>111</v>
      </c>
      <c r="D32" t="str">
        <f t="shared" si="9"/>
        <v>zCash</v>
      </c>
      <c r="E32" t="s">
        <v>6</v>
      </c>
      <c r="F32" t="s">
        <v>40</v>
      </c>
      <c r="G32" t="s">
        <v>8</v>
      </c>
      <c r="H32" t="s">
        <v>45</v>
      </c>
      <c r="I32" t="s">
        <v>5</v>
      </c>
      <c r="J32" t="s">
        <v>110</v>
      </c>
      <c r="L32" s="1">
        <v>44.15</v>
      </c>
      <c r="M32" s="1"/>
      <c r="O32" s="1">
        <f t="shared" ref="O32:O37" si="77">L32+M32</f>
        <v>44.15</v>
      </c>
      <c r="P32" s="1">
        <f t="shared" si="10"/>
        <v>44.15</v>
      </c>
      <c r="T32" s="1"/>
      <c r="U32" s="1"/>
      <c r="V32" s="1"/>
      <c r="W32" s="1"/>
      <c r="Z32" s="4">
        <v>1.37</v>
      </c>
      <c r="AA32" s="4">
        <f t="shared" si="1"/>
        <v>1</v>
      </c>
      <c r="AB32" s="1">
        <f t="shared" si="2"/>
        <v>44.15</v>
      </c>
      <c r="AC32" s="1">
        <f t="shared" si="3"/>
        <v>0</v>
      </c>
      <c r="AD32" s="1">
        <f t="shared" si="4"/>
        <v>0</v>
      </c>
      <c r="AE32" s="1">
        <f t="shared" si="5"/>
        <v>0</v>
      </c>
      <c r="AF32" s="1">
        <f t="shared" si="6"/>
        <v>0</v>
      </c>
      <c r="AG32" s="7" t="str">
        <f t="shared" si="7"/>
        <v/>
      </c>
      <c r="AH32" s="1">
        <f t="shared" si="8"/>
        <v>44.15</v>
      </c>
      <c r="AI32" s="1"/>
      <c r="AJ32" s="1"/>
      <c r="AK32" s="1"/>
    </row>
    <row r="33" spans="2:37" x14ac:dyDescent="0.45">
      <c r="B33" t="s">
        <v>38</v>
      </c>
      <c r="C33" t="s">
        <v>118</v>
      </c>
      <c r="D33" t="s">
        <v>48</v>
      </c>
      <c r="E33" t="s">
        <v>6</v>
      </c>
      <c r="F33" t="s">
        <v>40</v>
      </c>
      <c r="G33" t="s">
        <v>8</v>
      </c>
      <c r="H33" t="s">
        <v>45</v>
      </c>
      <c r="I33" t="s">
        <v>41</v>
      </c>
      <c r="J33" s="2">
        <v>46169</v>
      </c>
      <c r="L33" s="1"/>
      <c r="M33" s="1"/>
      <c r="N33" s="1">
        <v>18857</v>
      </c>
      <c r="O33" s="1">
        <f>L33+M33</f>
        <v>0</v>
      </c>
      <c r="P33" s="1">
        <f>IF(H33="USD",O33*Z33,O33)</f>
        <v>0</v>
      </c>
      <c r="Q33" s="1">
        <v>13324</v>
      </c>
      <c r="S33" s="12">
        <v>12.57</v>
      </c>
      <c r="T33" s="1">
        <v>1060</v>
      </c>
      <c r="U33" s="1"/>
      <c r="V33" s="1"/>
      <c r="W33" s="1"/>
      <c r="Z33" s="4">
        <v>1.37</v>
      </c>
      <c r="AA33" s="4">
        <f>IF(H33="USD",Z33,1)</f>
        <v>1</v>
      </c>
      <c r="AB33" s="1">
        <f>SUM(L33:N33)</f>
        <v>18857</v>
      </c>
      <c r="AC33" s="1">
        <f>IF(Q33="",0,Q33*AA33)</f>
        <v>13324</v>
      </c>
      <c r="AD33" s="1">
        <f>IF(Q33="",0,N33*AA33)</f>
        <v>18857</v>
      </c>
      <c r="AE33" s="1">
        <f>IF(N33="",0,N33-Q33)</f>
        <v>5533</v>
      </c>
      <c r="AF33" s="1">
        <f>IF(N33="",0,AE33*AA33)</f>
        <v>5533</v>
      </c>
      <c r="AG33" s="7">
        <f>IF(OR(N33=0,Q33=0),"",N33/Q33-1)</f>
        <v>0.41526568598018621</v>
      </c>
      <c r="AH33" s="1">
        <f>AD33+P33</f>
        <v>18857</v>
      </c>
      <c r="AI33" s="1"/>
      <c r="AJ33" s="1"/>
      <c r="AK33" s="1"/>
    </row>
    <row r="34" spans="2:37" x14ac:dyDescent="0.45">
      <c r="B34" t="s">
        <v>38</v>
      </c>
      <c r="C34" t="s">
        <v>115</v>
      </c>
      <c r="D34" t="str">
        <f t="shared" si="9"/>
        <v>VDY.TO</v>
      </c>
      <c r="E34" t="s">
        <v>6</v>
      </c>
      <c r="F34" t="s">
        <v>40</v>
      </c>
      <c r="G34" t="s">
        <v>8</v>
      </c>
      <c r="H34" t="s">
        <v>45</v>
      </c>
      <c r="I34" t="s">
        <v>74</v>
      </c>
      <c r="L34" s="1"/>
      <c r="M34" s="1"/>
      <c r="N34" s="1">
        <v>11452</v>
      </c>
      <c r="O34" s="1">
        <f t="shared" si="77"/>
        <v>0</v>
      </c>
      <c r="P34" s="1">
        <f>IF(H34="USD",O34*Z34,O34)</f>
        <v>0</v>
      </c>
      <c r="Q34" s="1">
        <v>6090.27</v>
      </c>
      <c r="S34" s="12">
        <v>40.601799999999997</v>
      </c>
      <c r="T34" s="1">
        <v>150.00000000000003</v>
      </c>
      <c r="U34" s="1"/>
      <c r="V34" s="1"/>
      <c r="W34" s="1"/>
      <c r="Z34" s="4">
        <v>1.37</v>
      </c>
      <c r="AA34" s="4">
        <f>IF(H34="USD",Z34,1)</f>
        <v>1</v>
      </c>
      <c r="AB34" s="1">
        <f t="shared" si="2"/>
        <v>11452</v>
      </c>
      <c r="AC34" s="1">
        <f>IF(Q34="",0,Q34*AA34)</f>
        <v>6090.27</v>
      </c>
      <c r="AD34" s="1">
        <f>IF(Q34="",0,N34*AA34)</f>
        <v>11452</v>
      </c>
      <c r="AE34" s="1">
        <f>IF(N34="",0,N34-Q34)</f>
        <v>5361.73</v>
      </c>
      <c r="AF34" s="1">
        <f>IF(N34="",0,AE34*AA34)</f>
        <v>5361.73</v>
      </c>
      <c r="AG34" s="7">
        <f>IF(OR(N34=0,Q34=0),"",N34/Q34-1)</f>
        <v>0.88037640367340031</v>
      </c>
      <c r="AH34" s="1">
        <f>AD34+P34</f>
        <v>11452</v>
      </c>
      <c r="AI34" s="1"/>
      <c r="AJ34" s="1"/>
      <c r="AK34" s="1"/>
    </row>
    <row r="35" spans="2:37" x14ac:dyDescent="0.45">
      <c r="B35" t="s">
        <v>38</v>
      </c>
      <c r="C35" t="s">
        <v>111</v>
      </c>
      <c r="D35" t="str">
        <f t="shared" ref="D35:D36" si="78">C35</f>
        <v>zCash</v>
      </c>
      <c r="E35" t="s">
        <v>6</v>
      </c>
      <c r="F35" t="s">
        <v>40</v>
      </c>
      <c r="G35" t="s">
        <v>8</v>
      </c>
      <c r="H35" t="s">
        <v>1</v>
      </c>
      <c r="I35" t="s">
        <v>5</v>
      </c>
      <c r="J35" t="s">
        <v>110</v>
      </c>
      <c r="L35" s="1"/>
      <c r="M35" s="1">
        <v>73</v>
      </c>
      <c r="O35" s="1">
        <f t="shared" ref="O35:O36" si="79">L35+M35</f>
        <v>73</v>
      </c>
      <c r="P35" s="1">
        <f t="shared" ref="P35:P36" si="80">IF(H35="USD",O35*Z35,O35)</f>
        <v>100.01</v>
      </c>
      <c r="T35" s="1"/>
      <c r="U35" s="1"/>
      <c r="V35" s="1"/>
      <c r="W35" s="1"/>
      <c r="Z35" s="4">
        <v>1.37</v>
      </c>
      <c r="AA35" s="4">
        <f t="shared" ref="AA35:AA36" si="81">IF(H35="USD",Z35,1)</f>
        <v>1.37</v>
      </c>
      <c r="AB35" s="1">
        <f t="shared" ref="AB35:AB36" si="82">SUM(L35:N35)</f>
        <v>73</v>
      </c>
      <c r="AC35" s="1">
        <f t="shared" ref="AC35:AC36" si="83">IF(Q35="",0,Q35*AA35)</f>
        <v>0</v>
      </c>
      <c r="AD35" s="1">
        <f t="shared" ref="AD35:AD36" si="84">IF(Q35="",0,N35*AA35)</f>
        <v>0</v>
      </c>
      <c r="AE35" s="1">
        <f t="shared" ref="AE35:AE36" si="85">IF(N35="",0,N35-Q35)</f>
        <v>0</v>
      </c>
      <c r="AF35" s="1">
        <f t="shared" ref="AF35:AF36" si="86">IF(N35="",0,AE35*AA35)</f>
        <v>0</v>
      </c>
      <c r="AG35" s="7" t="str">
        <f t="shared" ref="AG35:AG36" si="87">IF(OR(N35=0,Q35=0),"",N35/Q35-1)</f>
        <v/>
      </c>
      <c r="AH35" s="1">
        <f t="shared" ref="AH35:AH36" si="88">AD35+P35</f>
        <v>100.01</v>
      </c>
      <c r="AI35" s="1"/>
      <c r="AJ35" s="1"/>
      <c r="AK35" s="1"/>
    </row>
    <row r="36" spans="2:37" x14ac:dyDescent="0.45">
      <c r="B36" t="s">
        <v>38</v>
      </c>
      <c r="C36" t="s">
        <v>114</v>
      </c>
      <c r="D36" t="str">
        <f t="shared" si="78"/>
        <v>EUV</v>
      </c>
      <c r="E36" t="s">
        <v>6</v>
      </c>
      <c r="F36" t="s">
        <v>40</v>
      </c>
      <c r="G36" t="s">
        <v>8</v>
      </c>
      <c r="H36" t="s">
        <v>1</v>
      </c>
      <c r="I36" t="s">
        <v>41</v>
      </c>
      <c r="J36" s="2">
        <v>46182</v>
      </c>
      <c r="L36" s="1"/>
      <c r="M36" s="1"/>
      <c r="N36" s="1">
        <v>9639</v>
      </c>
      <c r="O36" s="1">
        <f t="shared" si="79"/>
        <v>0</v>
      </c>
      <c r="P36" s="1">
        <f t="shared" si="80"/>
        <v>0</v>
      </c>
      <c r="Q36" s="1">
        <v>8976</v>
      </c>
      <c r="S36" s="12">
        <v>27.7</v>
      </c>
      <c r="T36" s="1">
        <v>330</v>
      </c>
      <c r="U36" s="1"/>
      <c r="V36" s="1"/>
      <c r="W36" s="1"/>
      <c r="Z36" s="4">
        <v>1.37</v>
      </c>
      <c r="AA36" s="4">
        <f t="shared" si="81"/>
        <v>1.37</v>
      </c>
      <c r="AB36" s="1">
        <f t="shared" si="82"/>
        <v>9639</v>
      </c>
      <c r="AC36" s="1">
        <f t="shared" si="83"/>
        <v>12297.12</v>
      </c>
      <c r="AD36" s="1">
        <f t="shared" si="84"/>
        <v>13205.43</v>
      </c>
      <c r="AE36" s="1">
        <f t="shared" si="85"/>
        <v>663</v>
      </c>
      <c r="AF36" s="1">
        <f t="shared" si="86"/>
        <v>908.31000000000006</v>
      </c>
      <c r="AG36" s="7">
        <f t="shared" si="87"/>
        <v>7.3863636363636465E-2</v>
      </c>
      <c r="AH36" s="1">
        <f t="shared" si="88"/>
        <v>13205.43</v>
      </c>
      <c r="AI36" s="1"/>
      <c r="AJ36" s="1"/>
      <c r="AK36" s="1"/>
    </row>
    <row r="37" spans="2:37" x14ac:dyDescent="0.45">
      <c r="B37" t="s">
        <v>38</v>
      </c>
      <c r="C37" t="s">
        <v>87</v>
      </c>
      <c r="D37" t="str">
        <f t="shared" si="9"/>
        <v>AMD</v>
      </c>
      <c r="E37" t="s">
        <v>6</v>
      </c>
      <c r="F37" t="s">
        <v>40</v>
      </c>
      <c r="G37" t="s">
        <v>8</v>
      </c>
      <c r="H37" t="s">
        <v>1</v>
      </c>
      <c r="I37" t="s">
        <v>41</v>
      </c>
      <c r="L37" s="1"/>
      <c r="M37" s="1"/>
      <c r="N37" s="1">
        <v>5373</v>
      </c>
      <c r="O37" s="1">
        <f t="shared" si="77"/>
        <v>0</v>
      </c>
      <c r="P37" s="1">
        <f t="shared" si="10"/>
        <v>0</v>
      </c>
      <c r="Q37" s="1">
        <v>1775.1</v>
      </c>
      <c r="S37" s="12">
        <v>177.51</v>
      </c>
      <c r="T37" s="1">
        <v>10</v>
      </c>
      <c r="U37" s="1"/>
      <c r="V37" s="1"/>
      <c r="W37" s="1"/>
      <c r="Z37" s="4">
        <v>1.37</v>
      </c>
      <c r="AA37" s="4">
        <f t="shared" si="1"/>
        <v>1.37</v>
      </c>
      <c r="AB37" s="1">
        <f t="shared" si="2"/>
        <v>5373</v>
      </c>
      <c r="AC37" s="1">
        <f t="shared" si="3"/>
        <v>2431.8870000000002</v>
      </c>
      <c r="AD37" s="1">
        <f t="shared" si="4"/>
        <v>7361.01</v>
      </c>
      <c r="AE37" s="1">
        <f t="shared" si="5"/>
        <v>3597.9</v>
      </c>
      <c r="AF37" s="1">
        <f t="shared" si="6"/>
        <v>4929.1230000000005</v>
      </c>
      <c r="AG37" s="7">
        <f t="shared" si="7"/>
        <v>2.0268717255365898</v>
      </c>
      <c r="AH37" s="1">
        <f t="shared" si="8"/>
        <v>7361.01</v>
      </c>
      <c r="AI37" s="1"/>
      <c r="AJ37" s="1"/>
      <c r="AK37" s="1"/>
    </row>
    <row r="38" spans="2:37" x14ac:dyDescent="0.45">
      <c r="B38" t="s">
        <v>38</v>
      </c>
      <c r="C38" t="s">
        <v>88</v>
      </c>
      <c r="D38" t="str">
        <f t="shared" si="9"/>
        <v>CIFR</v>
      </c>
      <c r="E38" t="s">
        <v>6</v>
      </c>
      <c r="F38" t="s">
        <v>40</v>
      </c>
      <c r="G38" t="s">
        <v>8</v>
      </c>
      <c r="H38" t="s">
        <v>1</v>
      </c>
      <c r="I38" t="s">
        <v>41</v>
      </c>
      <c r="J38" s="2">
        <v>45952</v>
      </c>
      <c r="L38" s="1"/>
      <c r="M38" s="1"/>
      <c r="N38" s="1">
        <v>14590</v>
      </c>
      <c r="O38" s="1">
        <f t="shared" ref="O38" si="89">L38+M38</f>
        <v>0</v>
      </c>
      <c r="P38" s="1">
        <f t="shared" ref="P38" si="90">IF(H38="USD",O38*Z38,O38)</f>
        <v>0</v>
      </c>
      <c r="Q38" s="1">
        <v>8049.94</v>
      </c>
      <c r="S38" s="12">
        <v>16.099989999999998</v>
      </c>
      <c r="T38" s="1">
        <v>500</v>
      </c>
      <c r="U38" s="1"/>
      <c r="V38" s="1"/>
      <c r="W38" s="1"/>
      <c r="Z38" s="4">
        <v>1.37</v>
      </c>
      <c r="AA38" s="4">
        <f t="shared" ref="AA38" si="91">IF(H38="USD",Z38,1)</f>
        <v>1.37</v>
      </c>
      <c r="AB38" s="1">
        <f t="shared" si="2"/>
        <v>14590</v>
      </c>
      <c r="AC38" s="1">
        <f t="shared" ref="AC38" si="92">IF(Q38="",0,Q38*AA38)</f>
        <v>11028.417800000001</v>
      </c>
      <c r="AD38" s="1">
        <f t="shared" ref="AD38" si="93">IF(Q38="",0,N38*AA38)</f>
        <v>19988.300000000003</v>
      </c>
      <c r="AE38" s="1">
        <f t="shared" ref="AE38" si="94">IF(N38="",0,N38-Q38)</f>
        <v>6540.06</v>
      </c>
      <c r="AF38" s="1">
        <f t="shared" ref="AF38" si="95">IF(N38="",0,AE38*AA38)</f>
        <v>8959.8822000000018</v>
      </c>
      <c r="AG38" s="7">
        <f t="shared" ref="AG38" si="96">IF(OR(N38=0,Q38=0),"",N38/Q38-1)</f>
        <v>0.81243586908722309</v>
      </c>
      <c r="AH38" s="1">
        <f t="shared" ref="AH38" si="97">AD38+P38</f>
        <v>19988.300000000003</v>
      </c>
      <c r="AI38" s="1"/>
      <c r="AJ38" s="1"/>
      <c r="AK38" s="1"/>
    </row>
    <row r="39" spans="2:37" x14ac:dyDescent="0.45">
      <c r="B39" t="s">
        <v>38</v>
      </c>
      <c r="C39" t="s">
        <v>89</v>
      </c>
      <c r="D39" t="str">
        <f t="shared" si="9"/>
        <v>NFLX</v>
      </c>
      <c r="E39" t="s">
        <v>6</v>
      </c>
      <c r="F39" t="s">
        <v>40</v>
      </c>
      <c r="G39" t="s">
        <v>8</v>
      </c>
      <c r="H39" t="s">
        <v>1</v>
      </c>
      <c r="I39" t="s">
        <v>41</v>
      </c>
      <c r="L39" s="1"/>
      <c r="M39" s="1"/>
      <c r="N39" s="1">
        <v>1547</v>
      </c>
      <c r="O39" s="1">
        <f>L39+M39</f>
        <v>0</v>
      </c>
      <c r="P39" s="1">
        <f t="shared" si="10"/>
        <v>0</v>
      </c>
      <c r="Q39" s="1">
        <v>444</v>
      </c>
      <c r="S39" s="12">
        <v>222</v>
      </c>
      <c r="T39" s="1">
        <v>20</v>
      </c>
      <c r="U39" s="1"/>
      <c r="V39" s="1"/>
      <c r="W39" s="1"/>
      <c r="Z39" s="4">
        <v>1.37</v>
      </c>
      <c r="AA39" s="4">
        <f t="shared" si="1"/>
        <v>1.37</v>
      </c>
      <c r="AB39" s="1">
        <f t="shared" si="2"/>
        <v>1547</v>
      </c>
      <c r="AC39" s="1">
        <f t="shared" si="3"/>
        <v>608.28000000000009</v>
      </c>
      <c r="AD39" s="1">
        <f t="shared" si="4"/>
        <v>2119.3900000000003</v>
      </c>
      <c r="AE39" s="1">
        <f t="shared" si="5"/>
        <v>1103</v>
      </c>
      <c r="AF39" s="1">
        <f t="shared" si="6"/>
        <v>1511.1100000000001</v>
      </c>
      <c r="AG39" s="7">
        <f t="shared" si="7"/>
        <v>2.4842342342342341</v>
      </c>
      <c r="AH39" s="1">
        <f t="shared" si="8"/>
        <v>2119.3900000000003</v>
      </c>
      <c r="AI39" s="1"/>
      <c r="AJ39" s="1"/>
      <c r="AK39" s="1"/>
    </row>
    <row r="40" spans="2:37" x14ac:dyDescent="0.45">
      <c r="B40" t="s">
        <v>38</v>
      </c>
      <c r="C40" t="s">
        <v>79</v>
      </c>
      <c r="D40" t="str">
        <f t="shared" si="9"/>
        <v>ONDS</v>
      </c>
      <c r="E40" t="s">
        <v>6</v>
      </c>
      <c r="F40" t="s">
        <v>40</v>
      </c>
      <c r="G40" t="s">
        <v>8</v>
      </c>
      <c r="H40" t="s">
        <v>1</v>
      </c>
      <c r="I40" t="s">
        <v>41</v>
      </c>
      <c r="J40" s="2">
        <v>45926</v>
      </c>
      <c r="L40" s="1"/>
      <c r="M40" s="1"/>
      <c r="N40" s="1">
        <v>49131</v>
      </c>
      <c r="O40" s="1"/>
      <c r="P40" s="1">
        <f t="shared" si="10"/>
        <v>0</v>
      </c>
      <c r="Q40" s="1">
        <v>25578</v>
      </c>
      <c r="S40" s="11">
        <v>4.6551999999999998</v>
      </c>
      <c r="T40" s="1">
        <v>5300</v>
      </c>
      <c r="U40" s="1"/>
      <c r="Z40" s="4">
        <v>1.37</v>
      </c>
      <c r="AA40" s="4">
        <f t="shared" si="1"/>
        <v>1.37</v>
      </c>
      <c r="AB40" s="1">
        <f t="shared" si="2"/>
        <v>49131</v>
      </c>
      <c r="AC40" s="1">
        <f t="shared" si="3"/>
        <v>35041.86</v>
      </c>
      <c r="AD40" s="1">
        <f t="shared" si="4"/>
        <v>67309.47</v>
      </c>
      <c r="AE40" s="1">
        <f t="shared" si="5"/>
        <v>23553</v>
      </c>
      <c r="AF40" s="1">
        <f t="shared" si="6"/>
        <v>32267.610000000004</v>
      </c>
      <c r="AG40" s="7">
        <f t="shared" si="7"/>
        <v>0.92083040112596759</v>
      </c>
      <c r="AH40" s="1">
        <f t="shared" si="8"/>
        <v>67309.47</v>
      </c>
      <c r="AI40" s="1"/>
      <c r="AJ40" s="1"/>
      <c r="AK40" s="1"/>
    </row>
    <row r="41" spans="2:37" x14ac:dyDescent="0.45">
      <c r="B41" t="s">
        <v>38</v>
      </c>
      <c r="C41" t="s">
        <v>39</v>
      </c>
      <c r="D41" t="str">
        <f t="shared" si="9"/>
        <v>PLTR</v>
      </c>
      <c r="E41" t="s">
        <v>6</v>
      </c>
      <c r="F41" t="s">
        <v>40</v>
      </c>
      <c r="G41" t="s">
        <v>8</v>
      </c>
      <c r="H41" t="s">
        <v>1</v>
      </c>
      <c r="I41" t="s">
        <v>41</v>
      </c>
      <c r="J41" s="2">
        <v>45658</v>
      </c>
      <c r="L41" s="1"/>
      <c r="M41" s="1"/>
      <c r="N41" s="1">
        <v>12847</v>
      </c>
      <c r="O41" s="1">
        <f>L41+M41</f>
        <v>0</v>
      </c>
      <c r="P41" s="1">
        <f t="shared" si="10"/>
        <v>0</v>
      </c>
      <c r="Q41" s="1">
        <f>100*25.1</f>
        <v>2510</v>
      </c>
      <c r="S41" s="12">
        <v>25.05</v>
      </c>
      <c r="T41" s="1">
        <v>100</v>
      </c>
      <c r="U41" s="1"/>
      <c r="V41" s="1"/>
      <c r="W41" s="1"/>
      <c r="Z41" s="4">
        <v>1.37</v>
      </c>
      <c r="AA41" s="4">
        <f t="shared" si="1"/>
        <v>1.37</v>
      </c>
      <c r="AB41" s="1">
        <f t="shared" si="2"/>
        <v>12847</v>
      </c>
      <c r="AC41" s="1">
        <f t="shared" si="3"/>
        <v>3438.7000000000003</v>
      </c>
      <c r="AD41" s="1">
        <f t="shared" si="4"/>
        <v>17600.390000000003</v>
      </c>
      <c r="AE41" s="1">
        <f t="shared" si="5"/>
        <v>10337</v>
      </c>
      <c r="AF41" s="1">
        <f t="shared" si="6"/>
        <v>14161.69</v>
      </c>
      <c r="AG41" s="7">
        <f t="shared" si="7"/>
        <v>4.1183266932270914</v>
      </c>
      <c r="AH41" s="1">
        <f t="shared" si="8"/>
        <v>17600.390000000003</v>
      </c>
      <c r="AI41" s="1"/>
      <c r="AJ41" s="1"/>
      <c r="AK41" s="1"/>
    </row>
    <row r="42" spans="2:37" x14ac:dyDescent="0.45">
      <c r="B42" t="s">
        <v>38</v>
      </c>
      <c r="C42" t="s">
        <v>90</v>
      </c>
      <c r="D42" t="str">
        <f t="shared" si="9"/>
        <v>RCAT</v>
      </c>
      <c r="E42" t="s">
        <v>6</v>
      </c>
      <c r="F42" t="s">
        <v>40</v>
      </c>
      <c r="G42" t="s">
        <v>8</v>
      </c>
      <c r="H42" t="s">
        <v>1</v>
      </c>
      <c r="I42" t="s">
        <v>41</v>
      </c>
      <c r="J42" s="2">
        <v>45966</v>
      </c>
      <c r="L42" s="1"/>
      <c r="M42" s="1"/>
      <c r="N42" s="1">
        <v>11440</v>
      </c>
      <c r="O42" s="1">
        <f t="shared" ref="O42" si="98">L42+M42</f>
        <v>0</v>
      </c>
      <c r="P42" s="1">
        <f t="shared" ref="P42" si="99">IF(H42="USD",O42*Z42,O42)</f>
        <v>0</v>
      </c>
      <c r="Q42" s="1">
        <v>10339</v>
      </c>
      <c r="S42" s="12">
        <v>10.34</v>
      </c>
      <c r="T42" s="1">
        <v>1000</v>
      </c>
      <c r="U42" s="1"/>
      <c r="V42" s="1"/>
      <c r="W42" s="1"/>
      <c r="Z42" s="4">
        <v>1.37</v>
      </c>
      <c r="AA42" s="4">
        <f t="shared" ref="AA42" si="100">IF(H42="USD",Z42,1)</f>
        <v>1.37</v>
      </c>
      <c r="AB42" s="1">
        <f t="shared" si="2"/>
        <v>11440</v>
      </c>
      <c r="AC42" s="1">
        <f t="shared" ref="AC42" si="101">IF(Q42="",0,Q42*AA42)</f>
        <v>14164.43</v>
      </c>
      <c r="AD42" s="1">
        <f t="shared" ref="AD42" si="102">IF(Q42="",0,N42*AA42)</f>
        <v>15672.800000000001</v>
      </c>
      <c r="AE42" s="1">
        <f t="shared" ref="AE42" si="103">IF(N42="",0,N42-Q42)</f>
        <v>1101</v>
      </c>
      <c r="AF42" s="1">
        <f t="shared" ref="AF42" si="104">IF(N42="",0,AE42*AA42)</f>
        <v>1508.3700000000001</v>
      </c>
      <c r="AG42" s="7">
        <f t="shared" ref="AG42" si="105">IF(OR(N42=0,Q42=0),"",N42/Q42-1)</f>
        <v>0.10648998936067322</v>
      </c>
      <c r="AH42" s="1">
        <f t="shared" ref="AH42" si="106">AD42+P42</f>
        <v>15672.800000000001</v>
      </c>
      <c r="AI42" s="1"/>
      <c r="AJ42" s="1"/>
      <c r="AK42" s="1"/>
    </row>
    <row r="43" spans="2:37" x14ac:dyDescent="0.45">
      <c r="B43" t="s">
        <v>38</v>
      </c>
      <c r="C43" s="25" t="s">
        <v>42</v>
      </c>
      <c r="D43" s="25" t="str">
        <f t="shared" si="9"/>
        <v>SOFI</v>
      </c>
      <c r="E43" t="s">
        <v>6</v>
      </c>
      <c r="F43" t="s">
        <v>40</v>
      </c>
      <c r="G43" t="s">
        <v>8</v>
      </c>
      <c r="H43" t="s">
        <v>1</v>
      </c>
      <c r="I43" t="s">
        <v>41</v>
      </c>
      <c r="J43" s="2">
        <v>45674</v>
      </c>
      <c r="L43" s="1"/>
      <c r="M43" s="1"/>
      <c r="N43" s="1">
        <v>12537</v>
      </c>
      <c r="O43" s="1">
        <f>L43+M43</f>
        <v>0</v>
      </c>
      <c r="P43" s="1">
        <f t="shared" si="10"/>
        <v>0</v>
      </c>
      <c r="Q43" s="1">
        <v>6315</v>
      </c>
      <c r="S43" s="12">
        <v>9.02</v>
      </c>
      <c r="T43" s="1">
        <v>700</v>
      </c>
      <c r="U43" s="1"/>
      <c r="V43" s="1"/>
      <c r="W43" s="1"/>
      <c r="Z43" s="4">
        <v>1.37</v>
      </c>
      <c r="AA43" s="4">
        <f t="shared" si="1"/>
        <v>1.37</v>
      </c>
      <c r="AB43" s="1">
        <f t="shared" si="2"/>
        <v>12537</v>
      </c>
      <c r="AC43" s="1">
        <f t="shared" si="3"/>
        <v>8651.5500000000011</v>
      </c>
      <c r="AD43" s="1">
        <f t="shared" si="4"/>
        <v>17175.690000000002</v>
      </c>
      <c r="AE43" s="1">
        <f t="shared" si="5"/>
        <v>6222</v>
      </c>
      <c r="AF43" s="1">
        <f t="shared" si="6"/>
        <v>8524.1400000000012</v>
      </c>
      <c r="AG43" s="7">
        <f t="shared" si="7"/>
        <v>0.98527315914489311</v>
      </c>
      <c r="AH43" s="1">
        <f t="shared" si="8"/>
        <v>17175.690000000002</v>
      </c>
      <c r="AI43" s="1"/>
      <c r="AJ43" s="1"/>
      <c r="AK43" s="1"/>
    </row>
    <row r="44" spans="2:37" x14ac:dyDescent="0.45">
      <c r="B44" t="s">
        <v>38</v>
      </c>
      <c r="C44" t="s">
        <v>92</v>
      </c>
      <c r="D44" t="str">
        <f t="shared" si="9"/>
        <v>GLDM</v>
      </c>
      <c r="E44" t="s">
        <v>6</v>
      </c>
      <c r="F44" t="s">
        <v>40</v>
      </c>
      <c r="G44" t="s">
        <v>8</v>
      </c>
      <c r="H44" t="s">
        <v>1</v>
      </c>
      <c r="I44" t="s">
        <v>74</v>
      </c>
      <c r="L44" s="1"/>
      <c r="M44" s="1"/>
      <c r="N44" s="1">
        <v>3254</v>
      </c>
      <c r="O44" s="1">
        <f>L44+M44</f>
        <v>0</v>
      </c>
      <c r="P44" s="1">
        <f t="shared" ref="P44:P70" si="107">IF(H44="USD",O44*Z44,O44)</f>
        <v>0</v>
      </c>
      <c r="Q44" s="1">
        <v>1993.29</v>
      </c>
      <c r="S44" s="12">
        <v>51.11</v>
      </c>
      <c r="T44" s="1">
        <v>39</v>
      </c>
      <c r="U44" s="1"/>
      <c r="Z44" s="4">
        <v>1.37</v>
      </c>
      <c r="AA44" s="4">
        <f t="shared" ref="AA44:AA70" si="108">IF(H44="USD",Z44,1)</f>
        <v>1.37</v>
      </c>
      <c r="AB44" s="1">
        <f t="shared" si="2"/>
        <v>3254</v>
      </c>
      <c r="AC44" s="1">
        <f t="shared" ref="AC44:AC70" si="109">IF(Q44="",0,Q44*AA44)</f>
        <v>2730.8072999999999</v>
      </c>
      <c r="AD44" s="1">
        <f t="shared" ref="AD44:AD70" si="110">IF(Q44="",0,N44*AA44)</f>
        <v>4457.9800000000005</v>
      </c>
      <c r="AE44" s="1">
        <f t="shared" ref="AE44:AE70" si="111">IF(N44="",0,N44-Q44)</f>
        <v>1260.71</v>
      </c>
      <c r="AF44" s="1">
        <f t="shared" ref="AF44:AF70" si="112">IF(N44="",0,AE44*AA44)</f>
        <v>1727.1727000000001</v>
      </c>
      <c r="AG44" s="7">
        <f t="shared" ref="AG44:AG70" si="113">IF(OR(N44=0,Q44=0),"",N44/Q44-1)</f>
        <v>0.63247696020147592</v>
      </c>
      <c r="AH44" s="1">
        <f t="shared" ref="AH44:AH70" si="114">AD44+P44</f>
        <v>4457.9800000000005</v>
      </c>
      <c r="AI44" s="1"/>
      <c r="AJ44" s="1"/>
      <c r="AK44" s="1"/>
    </row>
    <row r="45" spans="2:37" x14ac:dyDescent="0.45">
      <c r="B45" t="s">
        <v>38</v>
      </c>
      <c r="C45" t="s">
        <v>93</v>
      </c>
      <c r="D45" t="str">
        <f t="shared" si="9"/>
        <v>ZETA</v>
      </c>
      <c r="E45" t="s">
        <v>6</v>
      </c>
      <c r="F45" t="s">
        <v>40</v>
      </c>
      <c r="G45" t="s">
        <v>8</v>
      </c>
      <c r="H45" t="s">
        <v>1</v>
      </c>
      <c r="I45" t="s">
        <v>41</v>
      </c>
      <c r="J45" s="2">
        <v>45874</v>
      </c>
      <c r="L45" s="1">
        <v>0</v>
      </c>
      <c r="M45" s="1"/>
      <c r="N45" s="1">
        <v>9447</v>
      </c>
      <c r="O45" s="1"/>
      <c r="P45" s="1">
        <f>IF(H45="USD",O45*Z45,O45)</f>
        <v>0</v>
      </c>
      <c r="Q45" s="1">
        <v>10009</v>
      </c>
      <c r="S45" s="12">
        <v>20.02</v>
      </c>
      <c r="T45" s="1">
        <v>500</v>
      </c>
      <c r="U45" s="1"/>
      <c r="V45" s="1"/>
      <c r="W45" s="1"/>
      <c r="Z45" s="4">
        <v>1.37</v>
      </c>
      <c r="AA45" s="4">
        <f>IF(H45="USD",Z45,1)</f>
        <v>1.37</v>
      </c>
      <c r="AB45" s="1">
        <f t="shared" si="2"/>
        <v>9447</v>
      </c>
      <c r="AC45" s="1">
        <f>IF(Q45="",0,Q45*AA45)</f>
        <v>13712.330000000002</v>
      </c>
      <c r="AD45" s="1">
        <f>IF(Q45="",0,N45*AA45)</f>
        <v>12942.390000000001</v>
      </c>
      <c r="AE45" s="1">
        <f>IF(N45="",0,N45-Q45)</f>
        <v>-562</v>
      </c>
      <c r="AF45" s="1">
        <f>IF(N45="",0,AE45*AA45)</f>
        <v>-769.94</v>
      </c>
      <c r="AG45" s="7">
        <f>IF(OR(N45=0,Q45=0),"",N45/Q45-1)</f>
        <v>-5.6149465481067029E-2</v>
      </c>
      <c r="AH45" s="1">
        <f>AD45+P45</f>
        <v>12942.390000000001</v>
      </c>
      <c r="AI45" s="1"/>
      <c r="AJ45" s="1"/>
      <c r="AK45" s="1"/>
    </row>
    <row r="46" spans="2:37" x14ac:dyDescent="0.45">
      <c r="B46" t="s">
        <v>38</v>
      </c>
      <c r="C46" t="s">
        <v>111</v>
      </c>
      <c r="D46" t="str">
        <f t="shared" si="9"/>
        <v>zCash</v>
      </c>
      <c r="E46" t="s">
        <v>6</v>
      </c>
      <c r="F46" t="s">
        <v>50</v>
      </c>
      <c r="G46" t="s">
        <v>8</v>
      </c>
      <c r="H46" t="s">
        <v>45</v>
      </c>
      <c r="I46" t="s">
        <v>5</v>
      </c>
      <c r="J46" t="s">
        <v>110</v>
      </c>
      <c r="L46" s="1">
        <v>0</v>
      </c>
      <c r="M46" s="1"/>
      <c r="O46" s="1">
        <f t="shared" ref="O46:O47" si="115">L46+M46</f>
        <v>0</v>
      </c>
      <c r="P46" s="1">
        <f t="shared" si="107"/>
        <v>0</v>
      </c>
      <c r="Z46" s="4">
        <v>1.37</v>
      </c>
      <c r="AA46" s="4">
        <f t="shared" si="108"/>
        <v>1</v>
      </c>
      <c r="AB46" s="1">
        <f t="shared" si="2"/>
        <v>0</v>
      </c>
      <c r="AC46" s="1">
        <f t="shared" si="109"/>
        <v>0</v>
      </c>
      <c r="AD46" s="1">
        <f t="shared" si="110"/>
        <v>0</v>
      </c>
      <c r="AE46" s="1">
        <f t="shared" si="111"/>
        <v>0</v>
      </c>
      <c r="AF46" s="1">
        <f t="shared" si="112"/>
        <v>0</v>
      </c>
      <c r="AG46" s="7" t="str">
        <f t="shared" si="113"/>
        <v/>
      </c>
      <c r="AH46" s="1">
        <f t="shared" si="114"/>
        <v>0</v>
      </c>
      <c r="AI46" s="1"/>
      <c r="AJ46" s="1"/>
      <c r="AK46" s="1"/>
    </row>
    <row r="47" spans="2:37" x14ac:dyDescent="0.45">
      <c r="B47" t="s">
        <v>38</v>
      </c>
      <c r="C47" t="s">
        <v>111</v>
      </c>
      <c r="D47" t="str">
        <f t="shared" si="9"/>
        <v>zCash</v>
      </c>
      <c r="E47" t="s">
        <v>6</v>
      </c>
      <c r="F47" t="s">
        <v>50</v>
      </c>
      <c r="G47" t="s">
        <v>8</v>
      </c>
      <c r="H47" t="s">
        <v>1</v>
      </c>
      <c r="I47" t="s">
        <v>5</v>
      </c>
      <c r="J47" t="s">
        <v>110</v>
      </c>
      <c r="L47" s="1">
        <v>0</v>
      </c>
      <c r="M47" s="1"/>
      <c r="O47" s="1">
        <f t="shared" si="115"/>
        <v>0</v>
      </c>
      <c r="P47" s="1">
        <f t="shared" si="107"/>
        <v>0</v>
      </c>
      <c r="Z47" s="4">
        <v>1.37</v>
      </c>
      <c r="AA47" s="4">
        <f t="shared" si="108"/>
        <v>1.37</v>
      </c>
      <c r="AB47" s="1">
        <f t="shared" si="2"/>
        <v>0</v>
      </c>
      <c r="AC47" s="1">
        <f t="shared" si="109"/>
        <v>0</v>
      </c>
      <c r="AD47" s="1">
        <f t="shared" si="110"/>
        <v>0</v>
      </c>
      <c r="AE47" s="1">
        <f t="shared" si="111"/>
        <v>0</v>
      </c>
      <c r="AF47" s="1">
        <f t="shared" si="112"/>
        <v>0</v>
      </c>
      <c r="AG47" s="7" t="str">
        <f t="shared" si="113"/>
        <v/>
      </c>
      <c r="AH47" s="1">
        <f t="shared" si="114"/>
        <v>0</v>
      </c>
      <c r="AI47" s="1"/>
      <c r="AJ47" s="1">
        <f>AJ2+AJ46</f>
        <v>0</v>
      </c>
      <c r="AK47" s="1"/>
    </row>
    <row r="48" spans="2:37" x14ac:dyDescent="0.45">
      <c r="B48" t="s">
        <v>38</v>
      </c>
      <c r="C48" t="s">
        <v>111</v>
      </c>
      <c r="D48" t="str">
        <f t="shared" si="9"/>
        <v>zCash</v>
      </c>
      <c r="E48" t="s">
        <v>6</v>
      </c>
      <c r="F48" t="s">
        <v>50</v>
      </c>
      <c r="G48" t="s">
        <v>5</v>
      </c>
      <c r="H48" t="s">
        <v>45</v>
      </c>
      <c r="I48" t="s">
        <v>5</v>
      </c>
      <c r="J48" t="s">
        <v>110</v>
      </c>
      <c r="L48" s="1">
        <v>10</v>
      </c>
      <c r="M48" s="1"/>
      <c r="O48" s="1">
        <f t="shared" ref="O48:O75" si="116">L48+M48</f>
        <v>10</v>
      </c>
      <c r="P48" s="1">
        <f t="shared" si="107"/>
        <v>10</v>
      </c>
      <c r="Z48" s="4">
        <v>1.37</v>
      </c>
      <c r="AA48" s="4">
        <f t="shared" si="108"/>
        <v>1</v>
      </c>
      <c r="AB48" s="1">
        <f t="shared" si="2"/>
        <v>10</v>
      </c>
      <c r="AC48" s="1">
        <f t="shared" si="109"/>
        <v>0</v>
      </c>
      <c r="AD48" s="1">
        <f t="shared" si="110"/>
        <v>0</v>
      </c>
      <c r="AE48" s="1">
        <f t="shared" si="111"/>
        <v>0</v>
      </c>
      <c r="AF48" s="1">
        <f t="shared" si="112"/>
        <v>0</v>
      </c>
      <c r="AG48" s="7" t="str">
        <f t="shared" si="113"/>
        <v/>
      </c>
      <c r="AH48" s="1">
        <f t="shared" si="114"/>
        <v>10</v>
      </c>
      <c r="AI48" s="1"/>
      <c r="AJ48" s="1"/>
      <c r="AK48" s="1"/>
    </row>
    <row r="49" spans="2:37" x14ac:dyDescent="0.45">
      <c r="B49" t="s">
        <v>38</v>
      </c>
      <c r="C49" t="s">
        <v>111</v>
      </c>
      <c r="D49" t="str">
        <f t="shared" si="9"/>
        <v>zCash</v>
      </c>
      <c r="E49" t="s">
        <v>6</v>
      </c>
      <c r="F49" t="s">
        <v>50</v>
      </c>
      <c r="G49" t="s">
        <v>5</v>
      </c>
      <c r="H49" t="s">
        <v>1</v>
      </c>
      <c r="I49" t="s">
        <v>5</v>
      </c>
      <c r="J49" t="s">
        <v>110</v>
      </c>
      <c r="L49" s="1">
        <v>0</v>
      </c>
      <c r="M49" s="1"/>
      <c r="O49" s="1">
        <f t="shared" si="116"/>
        <v>0</v>
      </c>
      <c r="P49" s="1">
        <f t="shared" si="107"/>
        <v>0</v>
      </c>
      <c r="T49" s="1"/>
      <c r="U49" s="1"/>
      <c r="Z49" s="4">
        <v>1.37</v>
      </c>
      <c r="AA49" s="4">
        <f t="shared" si="108"/>
        <v>1.37</v>
      </c>
      <c r="AB49" s="1">
        <f t="shared" si="2"/>
        <v>0</v>
      </c>
      <c r="AC49" s="1">
        <f t="shared" si="109"/>
        <v>0</v>
      </c>
      <c r="AD49" s="1">
        <f t="shared" si="110"/>
        <v>0</v>
      </c>
      <c r="AE49" s="1">
        <f t="shared" si="111"/>
        <v>0</v>
      </c>
      <c r="AF49" s="1">
        <f t="shared" si="112"/>
        <v>0</v>
      </c>
      <c r="AG49" s="7" t="str">
        <f t="shared" si="113"/>
        <v/>
      </c>
      <c r="AH49" s="1">
        <f t="shared" si="114"/>
        <v>0</v>
      </c>
      <c r="AI49" s="1"/>
      <c r="AJ49" s="1"/>
      <c r="AK49" s="1"/>
    </row>
    <row r="50" spans="2:37" x14ac:dyDescent="0.45">
      <c r="B50" t="s">
        <v>38</v>
      </c>
      <c r="C50" t="s">
        <v>111</v>
      </c>
      <c r="D50" t="str">
        <f t="shared" si="9"/>
        <v>zCash</v>
      </c>
      <c r="E50" t="s">
        <v>7</v>
      </c>
      <c r="F50" t="s">
        <v>43</v>
      </c>
      <c r="G50" t="s">
        <v>5</v>
      </c>
      <c r="H50" t="s">
        <v>45</v>
      </c>
      <c r="I50" t="s">
        <v>5</v>
      </c>
      <c r="J50" t="s">
        <v>110</v>
      </c>
      <c r="L50" s="1">
        <v>0</v>
      </c>
      <c r="M50" s="1">
        <v>63501</v>
      </c>
      <c r="O50" s="1">
        <f t="shared" si="116"/>
        <v>63501</v>
      </c>
      <c r="P50" s="1">
        <f t="shared" si="107"/>
        <v>63501</v>
      </c>
      <c r="Z50" s="4">
        <v>1.37</v>
      </c>
      <c r="AA50" s="4">
        <f t="shared" si="108"/>
        <v>1</v>
      </c>
      <c r="AB50" s="1">
        <f t="shared" si="2"/>
        <v>63501</v>
      </c>
      <c r="AC50" s="1">
        <f t="shared" si="109"/>
        <v>0</v>
      </c>
      <c r="AD50" s="1">
        <f t="shared" si="110"/>
        <v>0</v>
      </c>
      <c r="AE50" s="1">
        <f t="shared" si="111"/>
        <v>0</v>
      </c>
      <c r="AF50" s="1">
        <f t="shared" si="112"/>
        <v>0</v>
      </c>
      <c r="AG50" s="7" t="str">
        <f t="shared" si="113"/>
        <v/>
      </c>
      <c r="AH50" s="1">
        <f t="shared" si="114"/>
        <v>63501</v>
      </c>
      <c r="AI50" s="1"/>
      <c r="AJ50" s="1"/>
      <c r="AK50" s="1"/>
    </row>
    <row r="51" spans="2:37" x14ac:dyDescent="0.45">
      <c r="B51" t="s">
        <v>38</v>
      </c>
      <c r="C51" t="s">
        <v>111</v>
      </c>
      <c r="D51" t="str">
        <f t="shared" si="9"/>
        <v>zCash</v>
      </c>
      <c r="E51" t="s">
        <v>7</v>
      </c>
      <c r="F51" t="s">
        <v>43</v>
      </c>
      <c r="G51" t="s">
        <v>5</v>
      </c>
      <c r="H51" t="s">
        <v>1</v>
      </c>
      <c r="I51" t="s">
        <v>5</v>
      </c>
      <c r="J51" t="s">
        <v>110</v>
      </c>
      <c r="L51" s="1"/>
      <c r="M51" s="1">
        <v>9035</v>
      </c>
      <c r="O51" s="1">
        <f t="shared" si="116"/>
        <v>9035</v>
      </c>
      <c r="P51" s="1">
        <f t="shared" si="107"/>
        <v>12377.95</v>
      </c>
      <c r="Z51" s="4">
        <v>1.37</v>
      </c>
      <c r="AA51" s="4">
        <f t="shared" si="108"/>
        <v>1.37</v>
      </c>
      <c r="AB51" s="1">
        <f t="shared" si="2"/>
        <v>9035</v>
      </c>
      <c r="AC51" s="1">
        <f t="shared" si="109"/>
        <v>0</v>
      </c>
      <c r="AD51" s="1">
        <f t="shared" si="110"/>
        <v>0</v>
      </c>
      <c r="AE51" s="1">
        <f t="shared" si="111"/>
        <v>0</v>
      </c>
      <c r="AF51" s="1">
        <f t="shared" si="112"/>
        <v>0</v>
      </c>
      <c r="AG51" s="7" t="str">
        <f t="shared" si="113"/>
        <v/>
      </c>
      <c r="AH51" s="1">
        <f t="shared" si="114"/>
        <v>12377.95</v>
      </c>
      <c r="AI51" s="1"/>
      <c r="AJ51" s="1"/>
      <c r="AK51" s="1"/>
    </row>
    <row r="52" spans="2:37" x14ac:dyDescent="0.45">
      <c r="B52" t="s">
        <v>38</v>
      </c>
      <c r="C52" t="s">
        <v>111</v>
      </c>
      <c r="D52" t="str">
        <f t="shared" si="9"/>
        <v>zCash</v>
      </c>
      <c r="E52" t="s">
        <v>7</v>
      </c>
      <c r="F52" t="s">
        <v>43</v>
      </c>
      <c r="G52" t="s">
        <v>0</v>
      </c>
      <c r="H52" t="s">
        <v>45</v>
      </c>
      <c r="I52" t="s">
        <v>5</v>
      </c>
      <c r="J52" t="s">
        <v>110</v>
      </c>
      <c r="L52" s="1">
        <v>57.58</v>
      </c>
      <c r="M52" s="1"/>
      <c r="O52" s="1">
        <f t="shared" si="116"/>
        <v>57.58</v>
      </c>
      <c r="P52" s="1">
        <f t="shared" si="107"/>
        <v>57.58</v>
      </c>
      <c r="Z52" s="4">
        <v>1.37</v>
      </c>
      <c r="AA52" s="4">
        <f t="shared" si="108"/>
        <v>1</v>
      </c>
      <c r="AB52" s="1">
        <f t="shared" si="2"/>
        <v>57.58</v>
      </c>
      <c r="AC52" s="1">
        <f t="shared" si="109"/>
        <v>0</v>
      </c>
      <c r="AD52" s="1">
        <f t="shared" si="110"/>
        <v>0</v>
      </c>
      <c r="AE52" s="1">
        <f t="shared" si="111"/>
        <v>0</v>
      </c>
      <c r="AF52" s="1">
        <f t="shared" si="112"/>
        <v>0</v>
      </c>
      <c r="AG52" s="7" t="str">
        <f t="shared" si="113"/>
        <v/>
      </c>
      <c r="AH52" s="1">
        <f t="shared" si="114"/>
        <v>57.58</v>
      </c>
      <c r="AI52" s="1"/>
      <c r="AJ52" s="1"/>
      <c r="AK52" s="1"/>
    </row>
    <row r="53" spans="2:37" x14ac:dyDescent="0.45">
      <c r="B53" t="s">
        <v>38</v>
      </c>
      <c r="C53" t="s">
        <v>111</v>
      </c>
      <c r="D53" t="str">
        <f t="shared" si="9"/>
        <v>zCash</v>
      </c>
      <c r="E53" t="s">
        <v>7</v>
      </c>
      <c r="F53" t="s">
        <v>43</v>
      </c>
      <c r="G53" t="s">
        <v>0</v>
      </c>
      <c r="H53" t="s">
        <v>1</v>
      </c>
      <c r="I53" t="s">
        <v>5</v>
      </c>
      <c r="J53" t="s">
        <v>110</v>
      </c>
      <c r="L53" s="1"/>
      <c r="M53" s="1">
        <v>362</v>
      </c>
      <c r="O53" s="1">
        <f t="shared" si="116"/>
        <v>362</v>
      </c>
      <c r="P53" s="1">
        <f t="shared" si="107"/>
        <v>495.94000000000005</v>
      </c>
      <c r="Z53" s="4">
        <v>1.37</v>
      </c>
      <c r="AA53" s="4">
        <f t="shared" si="108"/>
        <v>1.37</v>
      </c>
      <c r="AB53" s="1">
        <f t="shared" si="2"/>
        <v>362</v>
      </c>
      <c r="AC53" s="1">
        <f t="shared" si="109"/>
        <v>0</v>
      </c>
      <c r="AD53" s="1">
        <f t="shared" si="110"/>
        <v>0</v>
      </c>
      <c r="AE53" s="1">
        <f t="shared" si="111"/>
        <v>0</v>
      </c>
      <c r="AF53" s="1">
        <f t="shared" si="112"/>
        <v>0</v>
      </c>
      <c r="AG53" s="7" t="str">
        <f t="shared" si="113"/>
        <v/>
      </c>
      <c r="AH53" s="1">
        <f t="shared" si="114"/>
        <v>495.94000000000005</v>
      </c>
      <c r="AI53" s="1"/>
      <c r="AJ53" s="1"/>
      <c r="AK53" s="1"/>
    </row>
    <row r="54" spans="2:37" x14ac:dyDescent="0.45">
      <c r="B54" t="s">
        <v>38</v>
      </c>
      <c r="C54" t="s">
        <v>111</v>
      </c>
      <c r="D54" t="str">
        <f t="shared" si="9"/>
        <v>zCash</v>
      </c>
      <c r="E54" t="s">
        <v>7</v>
      </c>
      <c r="F54" t="s">
        <v>43</v>
      </c>
      <c r="G54" t="s">
        <v>8</v>
      </c>
      <c r="H54" t="s">
        <v>45</v>
      </c>
      <c r="I54" t="s">
        <v>5</v>
      </c>
      <c r="J54" t="s">
        <v>110</v>
      </c>
      <c r="L54" s="1">
        <v>0</v>
      </c>
      <c r="M54" s="1">
        <v>0</v>
      </c>
      <c r="O54" s="1">
        <f t="shared" si="116"/>
        <v>0</v>
      </c>
      <c r="P54" s="1">
        <f t="shared" si="107"/>
        <v>0</v>
      </c>
      <c r="Z54" s="4">
        <v>1.37</v>
      </c>
      <c r="AA54" s="4">
        <f t="shared" si="108"/>
        <v>1</v>
      </c>
      <c r="AB54" s="1">
        <f t="shared" si="2"/>
        <v>0</v>
      </c>
      <c r="AC54" s="1">
        <f t="shared" si="109"/>
        <v>0</v>
      </c>
      <c r="AD54" s="1">
        <f t="shared" si="110"/>
        <v>0</v>
      </c>
      <c r="AE54" s="1">
        <f t="shared" si="111"/>
        <v>0</v>
      </c>
      <c r="AF54" s="1">
        <f t="shared" si="112"/>
        <v>0</v>
      </c>
      <c r="AG54" s="7" t="str">
        <f t="shared" si="113"/>
        <v/>
      </c>
      <c r="AH54" s="1">
        <f t="shared" si="114"/>
        <v>0</v>
      </c>
      <c r="AI54" s="1"/>
      <c r="AJ54" s="1"/>
      <c r="AK54" s="1"/>
    </row>
    <row r="55" spans="2:37" x14ac:dyDescent="0.45">
      <c r="B55" t="s">
        <v>38</v>
      </c>
      <c r="C55" t="s">
        <v>111</v>
      </c>
      <c r="D55" t="str">
        <f t="shared" si="9"/>
        <v>zCash</v>
      </c>
      <c r="E55" t="s">
        <v>7</v>
      </c>
      <c r="F55" t="s">
        <v>43</v>
      </c>
      <c r="G55" t="s">
        <v>8</v>
      </c>
      <c r="H55" t="s">
        <v>1</v>
      </c>
      <c r="I55" t="s">
        <v>5</v>
      </c>
      <c r="J55" t="s">
        <v>110</v>
      </c>
      <c r="L55" s="1"/>
      <c r="M55" s="1"/>
      <c r="O55" s="1">
        <f t="shared" si="116"/>
        <v>0</v>
      </c>
      <c r="P55" s="1">
        <f t="shared" si="107"/>
        <v>0</v>
      </c>
      <c r="Z55" s="4">
        <v>1.37</v>
      </c>
      <c r="AA55" s="4">
        <f t="shared" si="108"/>
        <v>1.37</v>
      </c>
      <c r="AB55" s="1">
        <f t="shared" si="2"/>
        <v>0</v>
      </c>
      <c r="AC55" s="1">
        <f t="shared" si="109"/>
        <v>0</v>
      </c>
      <c r="AD55" s="1">
        <f t="shared" si="110"/>
        <v>0</v>
      </c>
      <c r="AE55" s="1">
        <f t="shared" si="111"/>
        <v>0</v>
      </c>
      <c r="AF55" s="1">
        <f t="shared" si="112"/>
        <v>0</v>
      </c>
      <c r="AG55" s="7" t="str">
        <f t="shared" si="113"/>
        <v/>
      </c>
      <c r="AH55" s="1">
        <f t="shared" si="114"/>
        <v>0</v>
      </c>
      <c r="AI55" s="1"/>
      <c r="AJ55" s="1"/>
      <c r="AK55" s="1"/>
    </row>
    <row r="56" spans="2:37" x14ac:dyDescent="0.45">
      <c r="B56" t="s">
        <v>38</v>
      </c>
      <c r="C56" t="s">
        <v>111</v>
      </c>
      <c r="D56" t="str">
        <f t="shared" si="9"/>
        <v>zCash</v>
      </c>
      <c r="E56" t="s">
        <v>7</v>
      </c>
      <c r="F56" t="s">
        <v>40</v>
      </c>
      <c r="G56" t="s">
        <v>5</v>
      </c>
      <c r="H56" t="s">
        <v>45</v>
      </c>
      <c r="I56" t="s">
        <v>5</v>
      </c>
      <c r="J56" t="s">
        <v>110</v>
      </c>
      <c r="L56" s="1">
        <v>0</v>
      </c>
      <c r="M56" s="1"/>
      <c r="O56" s="1">
        <f t="shared" si="116"/>
        <v>0</v>
      </c>
      <c r="P56" s="1">
        <f t="shared" si="107"/>
        <v>0</v>
      </c>
      <c r="Z56" s="4">
        <v>1.37</v>
      </c>
      <c r="AA56" s="4">
        <f t="shared" si="108"/>
        <v>1</v>
      </c>
      <c r="AB56" s="1">
        <f t="shared" si="2"/>
        <v>0</v>
      </c>
      <c r="AC56" s="1">
        <f t="shared" si="109"/>
        <v>0</v>
      </c>
      <c r="AD56" s="1">
        <f t="shared" si="110"/>
        <v>0</v>
      </c>
      <c r="AE56" s="1">
        <f t="shared" si="111"/>
        <v>0</v>
      </c>
      <c r="AF56" s="1">
        <f t="shared" si="112"/>
        <v>0</v>
      </c>
      <c r="AG56" s="7" t="str">
        <f t="shared" si="113"/>
        <v/>
      </c>
      <c r="AH56" s="1">
        <f t="shared" si="114"/>
        <v>0</v>
      </c>
      <c r="AI56" s="1"/>
      <c r="AJ56" s="1"/>
      <c r="AK56" s="1"/>
    </row>
    <row r="57" spans="2:37" x14ac:dyDescent="0.45">
      <c r="B57" t="s">
        <v>38</v>
      </c>
      <c r="C57" t="s">
        <v>111</v>
      </c>
      <c r="D57" t="str">
        <f t="shared" si="9"/>
        <v>zCash</v>
      </c>
      <c r="E57" t="s">
        <v>7</v>
      </c>
      <c r="F57" t="s">
        <v>40</v>
      </c>
      <c r="G57" t="s">
        <v>5</v>
      </c>
      <c r="H57" t="s">
        <v>1</v>
      </c>
      <c r="I57" t="s">
        <v>5</v>
      </c>
      <c r="J57" t="s">
        <v>110</v>
      </c>
      <c r="L57" s="1">
        <v>119.38</v>
      </c>
      <c r="M57" s="1"/>
      <c r="O57" s="1">
        <f t="shared" si="116"/>
        <v>119.38</v>
      </c>
      <c r="P57" s="1">
        <f t="shared" si="107"/>
        <v>163.5506</v>
      </c>
      <c r="Z57" s="4">
        <v>1.37</v>
      </c>
      <c r="AA57" s="4">
        <f t="shared" si="108"/>
        <v>1.37</v>
      </c>
      <c r="AB57" s="1">
        <f t="shared" si="2"/>
        <v>119.38</v>
      </c>
      <c r="AC57" s="1">
        <f t="shared" si="109"/>
        <v>0</v>
      </c>
      <c r="AD57" s="1">
        <f t="shared" si="110"/>
        <v>0</v>
      </c>
      <c r="AE57" s="1">
        <f t="shared" si="111"/>
        <v>0</v>
      </c>
      <c r="AF57" s="1">
        <f t="shared" si="112"/>
        <v>0</v>
      </c>
      <c r="AG57" s="7" t="str">
        <f t="shared" si="113"/>
        <v/>
      </c>
      <c r="AH57" s="1">
        <f t="shared" si="114"/>
        <v>163.5506</v>
      </c>
      <c r="AI57" s="1"/>
      <c r="AJ57" s="1"/>
      <c r="AK57" s="1"/>
    </row>
    <row r="58" spans="2:37" x14ac:dyDescent="0.45">
      <c r="B58" t="s">
        <v>38</v>
      </c>
      <c r="C58" t="s">
        <v>82</v>
      </c>
      <c r="D58" t="str">
        <f t="shared" si="9"/>
        <v>IREN</v>
      </c>
      <c r="E58" t="s">
        <v>7</v>
      </c>
      <c r="F58" t="s">
        <v>40</v>
      </c>
      <c r="G58" t="s">
        <v>5</v>
      </c>
      <c r="H58" t="s">
        <v>1</v>
      </c>
      <c r="I58" t="s">
        <v>41</v>
      </c>
      <c r="J58" s="2">
        <v>45937</v>
      </c>
      <c r="L58" s="1"/>
      <c r="M58" s="1"/>
      <c r="N58" s="1">
        <v>11992</v>
      </c>
      <c r="O58" s="1"/>
      <c r="P58" s="1">
        <f t="shared" ref="P58" si="117">IF(H58="USD",O58*Z58,O58)</f>
        <v>0</v>
      </c>
      <c r="Q58" s="1">
        <v>11814</v>
      </c>
      <c r="S58" s="12">
        <v>59.07</v>
      </c>
      <c r="T58">
        <v>200</v>
      </c>
      <c r="Z58" s="4">
        <v>1.37</v>
      </c>
      <c r="AA58" s="4">
        <f t="shared" ref="AA58" si="118">IF(H58="USD",Z58,1)</f>
        <v>1.37</v>
      </c>
      <c r="AB58" s="1">
        <f t="shared" si="2"/>
        <v>11992</v>
      </c>
      <c r="AC58" s="1">
        <f t="shared" ref="AC58" si="119">IF(Q58="",0,Q58*AA58)</f>
        <v>16185.180000000002</v>
      </c>
      <c r="AD58" s="1">
        <f t="shared" ref="AD58" si="120">IF(Q58="",0,N58*AA58)</f>
        <v>16429.04</v>
      </c>
      <c r="AE58" s="1">
        <f t="shared" ref="AE58" si="121">IF(N58="",0,N58-Q58)</f>
        <v>178</v>
      </c>
      <c r="AF58" s="1">
        <f t="shared" ref="AF58" si="122">IF(N58="",0,AE58*AA58)</f>
        <v>243.86</v>
      </c>
      <c r="AG58" s="7">
        <f t="shared" ref="AG58" si="123">IF(OR(N58=0,Q58=0),"",N58/Q58-1)</f>
        <v>1.5066869815473227E-2</v>
      </c>
      <c r="AH58" s="1">
        <f t="shared" ref="AH58" si="124">AD58+P58</f>
        <v>16429.04</v>
      </c>
      <c r="AI58" s="1"/>
      <c r="AJ58" s="1"/>
      <c r="AK58" s="1"/>
    </row>
    <row r="59" spans="2:37" x14ac:dyDescent="0.45">
      <c r="B59" t="s">
        <v>38</v>
      </c>
      <c r="C59" t="s">
        <v>108</v>
      </c>
      <c r="D59" t="str">
        <f t="shared" ref="D59" si="125">C59</f>
        <v>MP</v>
      </c>
      <c r="E59" t="s">
        <v>7</v>
      </c>
      <c r="F59" t="s">
        <v>40</v>
      </c>
      <c r="G59" t="s">
        <v>5</v>
      </c>
      <c r="H59" t="s">
        <v>1</v>
      </c>
      <c r="I59" t="s">
        <v>41</v>
      </c>
      <c r="J59" s="2">
        <v>46150</v>
      </c>
      <c r="K59" s="2"/>
      <c r="L59" s="1"/>
      <c r="M59" s="1"/>
      <c r="N59" s="1">
        <v>9123</v>
      </c>
      <c r="O59" s="1"/>
      <c r="P59" s="1">
        <f>IF(H59="USD",O59*Z59,O59)</f>
        <v>0</v>
      </c>
      <c r="Q59" s="1">
        <v>10108</v>
      </c>
      <c r="S59" s="12">
        <v>67.27</v>
      </c>
      <c r="T59">
        <v>150</v>
      </c>
      <c r="U59" s="1"/>
      <c r="V59" s="1"/>
      <c r="Z59" s="4">
        <v>1.37</v>
      </c>
      <c r="AA59" s="4">
        <f>IF(H59="USD",Z59,1)</f>
        <v>1.37</v>
      </c>
      <c r="AB59" s="1">
        <f t="shared" ref="AB59" si="126">SUM(L59:N59)</f>
        <v>9123</v>
      </c>
      <c r="AC59" s="1">
        <f>IF(Q59="",0,Q59*AA59)</f>
        <v>13847.960000000001</v>
      </c>
      <c r="AD59" s="1">
        <f>IF(Q59="",0,N59*AA59)</f>
        <v>12498.51</v>
      </c>
      <c r="AE59" s="1">
        <f>IF(N59="",0,N59-Q59)</f>
        <v>-985</v>
      </c>
      <c r="AF59" s="1">
        <f>IF(N59="",0,AE59*AA59)</f>
        <v>-1349.45</v>
      </c>
      <c r="AG59" s="7">
        <f>IF(OR(N59=0,Q59=0),"",N59/Q59-1)</f>
        <v>-9.7447566284131426E-2</v>
      </c>
      <c r="AH59" s="1">
        <f>AD59+P59</f>
        <v>12498.51</v>
      </c>
      <c r="AI59" s="1"/>
      <c r="AJ59" s="1"/>
      <c r="AK59" s="1"/>
    </row>
    <row r="60" spans="2:37" x14ac:dyDescent="0.45">
      <c r="B60" t="s">
        <v>38</v>
      </c>
      <c r="C60" t="s">
        <v>112</v>
      </c>
      <c r="D60" t="str">
        <f t="shared" ref="D60" si="127">C60</f>
        <v>NOK</v>
      </c>
      <c r="E60" t="s">
        <v>7</v>
      </c>
      <c r="F60" t="s">
        <v>40</v>
      </c>
      <c r="G60" t="s">
        <v>5</v>
      </c>
      <c r="H60" t="s">
        <v>1</v>
      </c>
      <c r="I60" t="s">
        <v>41</v>
      </c>
      <c r="J60" s="2">
        <v>46174</v>
      </c>
      <c r="K60" s="2"/>
      <c r="L60" s="1"/>
      <c r="M60" s="1"/>
      <c r="N60" s="1">
        <v>8091</v>
      </c>
      <c r="O60" s="1"/>
      <c r="P60" s="1">
        <f>IF(H60="USD",O60*Z60,O60)</f>
        <v>0</v>
      </c>
      <c r="Q60" s="1">
        <v>9831</v>
      </c>
      <c r="S60" s="12">
        <v>16.385000000000002</v>
      </c>
      <c r="T60">
        <v>600</v>
      </c>
      <c r="U60" s="1"/>
      <c r="V60" s="1"/>
      <c r="Z60" s="4">
        <v>1.37</v>
      </c>
      <c r="AA60" s="4">
        <f>IF(H60="USD",Z60,1)</f>
        <v>1.37</v>
      </c>
      <c r="AB60" s="1">
        <f t="shared" ref="AB60" si="128">SUM(L60:N60)</f>
        <v>8091</v>
      </c>
      <c r="AC60" s="1">
        <f>IF(Q60="",0,Q60*AA60)</f>
        <v>13468.470000000001</v>
      </c>
      <c r="AD60" s="1">
        <f>IF(Q60="",0,N60*AA60)</f>
        <v>11084.67</v>
      </c>
      <c r="AE60" s="1">
        <f>IF(N60="",0,N60-Q60)</f>
        <v>-1740</v>
      </c>
      <c r="AF60" s="1">
        <f>IF(N60="",0,AE60*AA60)</f>
        <v>-2383.8000000000002</v>
      </c>
      <c r="AG60" s="7">
        <f>IF(OR(N60=0,Q60=0),"",N60/Q60-1)</f>
        <v>-0.17699115044247793</v>
      </c>
      <c r="AH60" s="1">
        <f>AD60+P60</f>
        <v>11084.67</v>
      </c>
      <c r="AI60" s="1"/>
      <c r="AJ60" s="1"/>
      <c r="AK60" s="1"/>
    </row>
    <row r="61" spans="2:37" x14ac:dyDescent="0.45">
      <c r="B61" t="s">
        <v>38</v>
      </c>
      <c r="C61" t="s">
        <v>79</v>
      </c>
      <c r="D61" t="str">
        <f t="shared" si="9"/>
        <v>ONDS</v>
      </c>
      <c r="E61" t="s">
        <v>7</v>
      </c>
      <c r="F61" t="s">
        <v>40</v>
      </c>
      <c r="G61" t="s">
        <v>5</v>
      </c>
      <c r="H61" t="s">
        <v>1</v>
      </c>
      <c r="I61" t="s">
        <v>41</v>
      </c>
      <c r="J61" s="2">
        <v>45684</v>
      </c>
      <c r="L61" s="1"/>
      <c r="M61" s="1"/>
      <c r="N61" s="1">
        <v>13905</v>
      </c>
      <c r="O61" s="1">
        <f>L61+M61</f>
        <v>0</v>
      </c>
      <c r="P61" s="1">
        <f>IF(H61="USD",O61*Z61,O61)</f>
        <v>0</v>
      </c>
      <c r="Q61" s="1">
        <v>2750</v>
      </c>
      <c r="S61" s="11">
        <v>1.8332999999999999</v>
      </c>
      <c r="T61">
        <v>1500</v>
      </c>
      <c r="Z61" s="4">
        <v>1.37</v>
      </c>
      <c r="AA61" s="4">
        <f>IF(H61="USD",Z61,1)</f>
        <v>1.37</v>
      </c>
      <c r="AB61" s="1">
        <f>SUM(L61:N61)</f>
        <v>13905</v>
      </c>
      <c r="AC61" s="1">
        <f>IF(Q61="",0,Q61*AA61)</f>
        <v>3767.5000000000005</v>
      </c>
      <c r="AD61" s="1">
        <f>IF(Q61="",0,N61*AA61)</f>
        <v>19049.850000000002</v>
      </c>
      <c r="AE61" s="1">
        <f>IF(N61="",0,N61-Q61)</f>
        <v>11155</v>
      </c>
      <c r="AF61" s="1">
        <f>IF(N61="",0,AE61*AA61)</f>
        <v>15282.35</v>
      </c>
      <c r="AG61" s="7">
        <f>IF(OR(N61=0,Q61=0),"",N61/Q61-1)</f>
        <v>4.0563636363636366</v>
      </c>
      <c r="AH61" s="1">
        <f>AD61+P61</f>
        <v>19049.850000000002</v>
      </c>
      <c r="AI61" s="1"/>
      <c r="AJ61" s="1"/>
      <c r="AK61" s="1"/>
    </row>
    <row r="62" spans="2:37" x14ac:dyDescent="0.45">
      <c r="B62" t="s">
        <v>38</v>
      </c>
      <c r="C62" t="s">
        <v>97</v>
      </c>
      <c r="D62" t="str">
        <f t="shared" si="9"/>
        <v>OSCR</v>
      </c>
      <c r="E62" t="s">
        <v>7</v>
      </c>
      <c r="F62" t="s">
        <v>40</v>
      </c>
      <c r="G62" t="s">
        <v>5</v>
      </c>
      <c r="H62" t="s">
        <v>1</v>
      </c>
      <c r="I62" t="s">
        <v>41</v>
      </c>
      <c r="J62" s="2">
        <v>45859</v>
      </c>
      <c r="L62" s="1"/>
      <c r="M62" s="1"/>
      <c r="N62" s="1">
        <v>11360</v>
      </c>
      <c r="O62" s="1"/>
      <c r="P62" s="1">
        <f>IF(H62="USD",O62*Z62,O62)</f>
        <v>0</v>
      </c>
      <c r="Q62" s="1">
        <v>5529</v>
      </c>
      <c r="S62" s="12">
        <v>13.824999999999999</v>
      </c>
      <c r="T62">
        <v>400</v>
      </c>
      <c r="Z62" s="4">
        <v>1.37</v>
      </c>
      <c r="AA62" s="4">
        <f>IF(H62="USD",Z62,1)</f>
        <v>1.37</v>
      </c>
      <c r="AB62" s="1">
        <f t="shared" si="2"/>
        <v>11360</v>
      </c>
      <c r="AC62" s="1">
        <f>IF(Q62="",0,Q62*AA62)</f>
        <v>7574.7300000000005</v>
      </c>
      <c r="AD62" s="1">
        <f>IF(Q62="",0,N62*AA62)</f>
        <v>15563.2</v>
      </c>
      <c r="AE62" s="1">
        <f>IF(N62="",0,N62-Q62)</f>
        <v>5831</v>
      </c>
      <c r="AF62" s="1">
        <f>IF(N62="",0,AE62*AA62)</f>
        <v>7988.47</v>
      </c>
      <c r="AG62" s="7">
        <f>IF(OR(N62=0,Q62=0),"",N62/Q62-1)</f>
        <v>1.0546210888044856</v>
      </c>
      <c r="AH62" s="1">
        <f>AD62+P62</f>
        <v>15563.2</v>
      </c>
      <c r="AI62" s="1"/>
      <c r="AJ62" s="1"/>
      <c r="AK62" s="1"/>
    </row>
    <row r="63" spans="2:37" x14ac:dyDescent="0.45">
      <c r="B63" t="s">
        <v>38</v>
      </c>
      <c r="C63" t="s">
        <v>113</v>
      </c>
      <c r="D63" t="str">
        <f t="shared" ref="D63" si="129">C63</f>
        <v>RKLB</v>
      </c>
      <c r="E63" t="s">
        <v>7</v>
      </c>
      <c r="F63" t="s">
        <v>40</v>
      </c>
      <c r="G63" t="s">
        <v>5</v>
      </c>
      <c r="H63" t="s">
        <v>1</v>
      </c>
      <c r="I63" t="s">
        <v>41</v>
      </c>
      <c r="J63" s="2">
        <v>46174</v>
      </c>
      <c r="L63" s="1"/>
      <c r="M63" s="1"/>
      <c r="N63" s="1">
        <v>7721</v>
      </c>
      <c r="O63" s="1">
        <f t="shared" ref="O63" si="130">L63+M63</f>
        <v>0</v>
      </c>
      <c r="P63" s="1">
        <f t="shared" ref="P63" si="131">IF(H63="USD",O63*Z63,O63)</f>
        <v>0</v>
      </c>
      <c r="Q63" s="1">
        <v>8935.2000000000007</v>
      </c>
      <c r="S63" s="11">
        <v>124.1</v>
      </c>
      <c r="T63">
        <v>72</v>
      </c>
      <c r="Z63" s="4">
        <v>1.37</v>
      </c>
      <c r="AA63" s="4">
        <f t="shared" ref="AA63" si="132">IF(H63="USD",Z63,1)</f>
        <v>1.37</v>
      </c>
      <c r="AB63" s="1">
        <f t="shared" ref="AB63" si="133">SUM(L63:N63)</f>
        <v>7721</v>
      </c>
      <c r="AC63" s="1">
        <f t="shared" ref="AC63" si="134">IF(Q63="",0,Q63*AA63)</f>
        <v>12241.224000000002</v>
      </c>
      <c r="AD63" s="1">
        <f t="shared" ref="AD63" si="135">IF(Q63="",0,N63*AA63)</f>
        <v>10577.77</v>
      </c>
      <c r="AE63" s="1">
        <f t="shared" ref="AE63" si="136">IF(N63="",0,N63-Q63)</f>
        <v>-1214.2000000000007</v>
      </c>
      <c r="AF63" s="1">
        <f t="shared" ref="AF63" si="137">IF(N63="",0,AE63*AA63)</f>
        <v>-1663.4540000000011</v>
      </c>
      <c r="AG63" s="7">
        <f t="shared" ref="AG63" si="138">IF(OR(N63=0,Q63=0),"",N63/Q63-1)</f>
        <v>-0.13588951562360108</v>
      </c>
      <c r="AH63" s="1">
        <f t="shared" ref="AH63" si="139">AD63+P63</f>
        <v>10577.77</v>
      </c>
      <c r="AI63" s="1"/>
      <c r="AJ63" s="1"/>
      <c r="AK63" s="1"/>
    </row>
    <row r="64" spans="2:37" x14ac:dyDescent="0.45">
      <c r="B64" t="s">
        <v>38</v>
      </c>
      <c r="C64" t="s">
        <v>80</v>
      </c>
      <c r="D64" t="str">
        <f t="shared" si="9"/>
        <v>RR</v>
      </c>
      <c r="E64" t="s">
        <v>7</v>
      </c>
      <c r="F64" t="s">
        <v>40</v>
      </c>
      <c r="G64" t="s">
        <v>5</v>
      </c>
      <c r="H64" t="s">
        <v>1</v>
      </c>
      <c r="I64" t="s">
        <v>41</v>
      </c>
      <c r="J64" s="2">
        <v>45724</v>
      </c>
      <c r="L64" s="1"/>
      <c r="M64" s="1"/>
      <c r="N64" s="1">
        <v>1498</v>
      </c>
      <c r="O64" s="1">
        <f t="shared" ref="O64" si="140">L64+M64</f>
        <v>0</v>
      </c>
      <c r="P64" s="1">
        <f t="shared" ref="P64" si="141">IF(H64="USD",O64*Z64,O64)</f>
        <v>0</v>
      </c>
      <c r="Q64" s="1">
        <v>2135</v>
      </c>
      <c r="S64" s="11">
        <v>3.05</v>
      </c>
      <c r="T64">
        <v>700</v>
      </c>
      <c r="Z64" s="4">
        <v>1.37</v>
      </c>
      <c r="AA64" s="4">
        <f t="shared" ref="AA64" si="142">IF(H64="USD",Z64,1)</f>
        <v>1.37</v>
      </c>
      <c r="AB64" s="1">
        <f t="shared" si="2"/>
        <v>1498</v>
      </c>
      <c r="AC64" s="1">
        <f t="shared" ref="AC64" si="143">IF(Q64="",0,Q64*AA64)</f>
        <v>2924.9500000000003</v>
      </c>
      <c r="AD64" s="1">
        <f t="shared" ref="AD64" si="144">IF(Q64="",0,N64*AA64)</f>
        <v>2052.2600000000002</v>
      </c>
      <c r="AE64" s="1">
        <f t="shared" ref="AE64" si="145">IF(N64="",0,N64-Q64)</f>
        <v>-637</v>
      </c>
      <c r="AF64" s="1">
        <f t="shared" ref="AF64" si="146">IF(N64="",0,AE64*AA64)</f>
        <v>-872.69</v>
      </c>
      <c r="AG64" s="7">
        <f t="shared" ref="AG64" si="147">IF(OR(N64=0,Q64=0),"",N64/Q64-1)</f>
        <v>-0.29836065573770487</v>
      </c>
      <c r="AH64" s="1">
        <f t="shared" ref="AH64" si="148">AD64+P64</f>
        <v>2052.2600000000002</v>
      </c>
      <c r="AI64" s="1"/>
      <c r="AJ64" s="1"/>
      <c r="AK64" s="1"/>
    </row>
    <row r="65" spans="2:39" x14ac:dyDescent="0.45">
      <c r="B65" t="s">
        <v>38</v>
      </c>
      <c r="C65" t="s">
        <v>111</v>
      </c>
      <c r="D65" t="str">
        <f t="shared" si="9"/>
        <v>zCash</v>
      </c>
      <c r="E65" t="s">
        <v>7</v>
      </c>
      <c r="F65" t="s">
        <v>40</v>
      </c>
      <c r="G65" t="s">
        <v>0</v>
      </c>
      <c r="H65" t="s">
        <v>45</v>
      </c>
      <c r="I65" t="s">
        <v>5</v>
      </c>
      <c r="J65" t="s">
        <v>110</v>
      </c>
      <c r="L65" s="1">
        <v>0</v>
      </c>
      <c r="M65" s="1"/>
      <c r="O65" s="1">
        <f t="shared" si="116"/>
        <v>0</v>
      </c>
      <c r="P65" s="1">
        <f t="shared" si="107"/>
        <v>0</v>
      </c>
      <c r="Z65" s="4">
        <v>1.37</v>
      </c>
      <c r="AA65" s="4">
        <f t="shared" si="108"/>
        <v>1</v>
      </c>
      <c r="AB65" s="1">
        <f t="shared" si="2"/>
        <v>0</v>
      </c>
      <c r="AC65" s="1">
        <f t="shared" si="109"/>
        <v>0</v>
      </c>
      <c r="AD65" s="1">
        <f t="shared" si="110"/>
        <v>0</v>
      </c>
      <c r="AE65" s="1">
        <f t="shared" si="111"/>
        <v>0</v>
      </c>
      <c r="AF65" s="1">
        <f t="shared" si="112"/>
        <v>0</v>
      </c>
      <c r="AG65" s="7" t="str">
        <f t="shared" si="113"/>
        <v/>
      </c>
      <c r="AH65" s="1">
        <f t="shared" si="114"/>
        <v>0</v>
      </c>
      <c r="AI65" s="1"/>
      <c r="AJ65" s="1"/>
      <c r="AK65" s="1"/>
    </row>
    <row r="66" spans="2:39" x14ac:dyDescent="0.45">
      <c r="B66" t="s">
        <v>38</v>
      </c>
      <c r="C66" t="s">
        <v>119</v>
      </c>
      <c r="D66" t="s">
        <v>81</v>
      </c>
      <c r="E66" t="s">
        <v>7</v>
      </c>
      <c r="F66" t="s">
        <v>40</v>
      </c>
      <c r="G66" t="s">
        <v>0</v>
      </c>
      <c r="H66" t="s">
        <v>45</v>
      </c>
      <c r="I66" t="s">
        <v>41</v>
      </c>
      <c r="J66" s="2">
        <v>45937</v>
      </c>
      <c r="L66" s="1">
        <v>0</v>
      </c>
      <c r="M66" s="1"/>
      <c r="N66" s="1">
        <v>14190</v>
      </c>
      <c r="O66" s="1">
        <f t="shared" ref="O66" si="149">L66+M66</f>
        <v>0</v>
      </c>
      <c r="P66" s="1">
        <f t="shared" ref="P66" si="150">IF(H66="USD",O66*Z66,O66)</f>
        <v>0</v>
      </c>
      <c r="Q66" s="1">
        <v>12945</v>
      </c>
      <c r="T66">
        <v>500</v>
      </c>
      <c r="Z66" s="4">
        <v>1.37</v>
      </c>
      <c r="AA66" s="4">
        <f t="shared" ref="AA66" si="151">IF(H66="USD",Z66,1)</f>
        <v>1</v>
      </c>
      <c r="AB66" s="1">
        <f t="shared" si="2"/>
        <v>14190</v>
      </c>
      <c r="AC66" s="1">
        <f t="shared" ref="AC66" si="152">IF(Q66="",0,Q66*AA66)</f>
        <v>12945</v>
      </c>
      <c r="AD66" s="1">
        <f t="shared" ref="AD66" si="153">IF(Q66="",0,N66*AA66)</f>
        <v>14190</v>
      </c>
      <c r="AE66" s="1">
        <f t="shared" ref="AE66" si="154">IF(N66="",0,N66-Q66)</f>
        <v>1245</v>
      </c>
      <c r="AF66" s="1">
        <f t="shared" ref="AF66" si="155">IF(N66="",0,AE66*AA66)</f>
        <v>1245</v>
      </c>
      <c r="AG66" s="7">
        <f t="shared" ref="AG66" si="156">IF(OR(N66=0,Q66=0),"",N66/Q66-1)</f>
        <v>9.6176129779837805E-2</v>
      </c>
      <c r="AH66" s="1">
        <f t="shared" ref="AH66" si="157">AD66+P66</f>
        <v>14190</v>
      </c>
      <c r="AI66" s="1"/>
      <c r="AJ66" s="1"/>
      <c r="AK66" s="1"/>
    </row>
    <row r="67" spans="2:39" x14ac:dyDescent="0.45">
      <c r="B67" t="s">
        <v>38</v>
      </c>
      <c r="C67" t="s">
        <v>111</v>
      </c>
      <c r="D67" t="str">
        <f t="shared" si="9"/>
        <v>zCash</v>
      </c>
      <c r="E67" t="s">
        <v>7</v>
      </c>
      <c r="F67" t="s">
        <v>40</v>
      </c>
      <c r="G67" t="s">
        <v>0</v>
      </c>
      <c r="H67" t="s">
        <v>1</v>
      </c>
      <c r="I67" t="s">
        <v>5</v>
      </c>
      <c r="J67" t="s">
        <v>110</v>
      </c>
      <c r="L67" s="1">
        <v>0</v>
      </c>
      <c r="M67" s="1"/>
      <c r="O67" s="1">
        <f t="shared" si="116"/>
        <v>0</v>
      </c>
      <c r="P67" s="1">
        <f t="shared" si="107"/>
        <v>0</v>
      </c>
      <c r="Z67" s="4">
        <v>1.37</v>
      </c>
      <c r="AA67" s="4">
        <f t="shared" si="108"/>
        <v>1.37</v>
      </c>
      <c r="AB67" s="1">
        <f t="shared" si="2"/>
        <v>0</v>
      </c>
      <c r="AC67" s="1">
        <f t="shared" si="109"/>
        <v>0</v>
      </c>
      <c r="AD67" s="1">
        <f t="shared" si="110"/>
        <v>0</v>
      </c>
      <c r="AE67" s="1">
        <f t="shared" si="111"/>
        <v>0</v>
      </c>
      <c r="AF67" s="1">
        <f t="shared" si="112"/>
        <v>0</v>
      </c>
      <c r="AG67" s="7" t="str">
        <f t="shared" si="113"/>
        <v/>
      </c>
      <c r="AH67" s="1">
        <f t="shared" si="114"/>
        <v>0</v>
      </c>
      <c r="AI67" s="1"/>
      <c r="AJ67" s="1"/>
      <c r="AK67" s="1"/>
    </row>
    <row r="68" spans="2:39" x14ac:dyDescent="0.45">
      <c r="B68" t="s">
        <v>38</v>
      </c>
      <c r="C68" t="s">
        <v>98</v>
      </c>
      <c r="D68" t="str">
        <f t="shared" si="9"/>
        <v>GOOGL</v>
      </c>
      <c r="E68" t="s">
        <v>7</v>
      </c>
      <c r="F68" t="s">
        <v>40</v>
      </c>
      <c r="G68" t="s">
        <v>0</v>
      </c>
      <c r="H68" t="s">
        <v>1</v>
      </c>
      <c r="I68" t="s">
        <v>41</v>
      </c>
      <c r="L68" s="1"/>
      <c r="M68" s="1"/>
      <c r="N68" s="1">
        <v>8106</v>
      </c>
      <c r="O68" s="1">
        <f>L68+M68</f>
        <v>0</v>
      </c>
      <c r="P68" s="1">
        <f>IF(H68="USD",O68*Z68,O68)</f>
        <v>0</v>
      </c>
      <c r="Q68" s="1">
        <v>4305.26</v>
      </c>
      <c r="S68" s="12">
        <v>195.6936</v>
      </c>
      <c r="T68">
        <v>22</v>
      </c>
      <c r="U68" s="5"/>
      <c r="Z68" s="4">
        <v>1.37</v>
      </c>
      <c r="AA68" s="4">
        <f>IF(H68="USD",Z68,1)</f>
        <v>1.37</v>
      </c>
      <c r="AB68" s="1">
        <f t="shared" si="2"/>
        <v>8106</v>
      </c>
      <c r="AC68" s="1">
        <f>IF(Q68="",0,Q68*AA68)</f>
        <v>5898.2062000000005</v>
      </c>
      <c r="AD68" s="1">
        <f>IF(Q68="",0,N68*AA68)</f>
        <v>11105.220000000001</v>
      </c>
      <c r="AE68" s="1">
        <f>IF(N68="",0,N68-Q68)</f>
        <v>3800.74</v>
      </c>
      <c r="AF68" s="1">
        <f>IF(N68="",0,AE68*AA68)</f>
        <v>5207.0137999999997</v>
      </c>
      <c r="AG68" s="7">
        <f>IF(OR(N68=0,Q68=0),"",N68/Q68-1)</f>
        <v>0.88281311697783638</v>
      </c>
      <c r="AH68" s="1">
        <f>AD68+P68</f>
        <v>11105.220000000001</v>
      </c>
      <c r="AI68" s="1"/>
      <c r="AJ68" s="1"/>
      <c r="AK68" s="1"/>
    </row>
    <row r="69" spans="2:39" x14ac:dyDescent="0.45">
      <c r="B69" t="s">
        <v>38</v>
      </c>
      <c r="C69" t="s">
        <v>109</v>
      </c>
      <c r="D69" t="str">
        <f t="shared" ref="D69" si="158">C69</f>
        <v>DRAM</v>
      </c>
      <c r="E69" t="s">
        <v>7</v>
      </c>
      <c r="F69" t="s">
        <v>40</v>
      </c>
      <c r="G69" t="s">
        <v>0</v>
      </c>
      <c r="H69" t="s">
        <v>1</v>
      </c>
      <c r="I69" t="s">
        <v>41</v>
      </c>
      <c r="J69" s="2">
        <v>46161</v>
      </c>
      <c r="L69" s="1"/>
      <c r="M69" s="1"/>
      <c r="N69" s="1">
        <v>7450</v>
      </c>
      <c r="O69" s="1">
        <f>L69+M69</f>
        <v>0</v>
      </c>
      <c r="P69" s="1">
        <f>IF(H69="USD",O69*Z69,O69)</f>
        <v>0</v>
      </c>
      <c r="Q69" s="1">
        <v>4820</v>
      </c>
      <c r="S69" s="12">
        <v>49.7</v>
      </c>
      <c r="T69">
        <v>97</v>
      </c>
      <c r="U69" s="5"/>
      <c r="Z69" s="4">
        <v>1.37</v>
      </c>
      <c r="AA69" s="4">
        <f>IF(H69="USD",Z69,1)</f>
        <v>1.37</v>
      </c>
      <c r="AB69" s="1">
        <f t="shared" ref="AB69" si="159">SUM(L69:N69)</f>
        <v>7450</v>
      </c>
      <c r="AC69" s="1">
        <f>IF(Q69="",0,Q69*AA69)</f>
        <v>6603.4000000000005</v>
      </c>
      <c r="AD69" s="1">
        <f>IF(Q69="",0,N69*AA69)</f>
        <v>10206.5</v>
      </c>
      <c r="AE69" s="1">
        <f>IF(N69="",0,N69-Q69)</f>
        <v>2630</v>
      </c>
      <c r="AF69" s="1">
        <f>IF(N69="",0,AE69*AA69)</f>
        <v>3603.1000000000004</v>
      </c>
      <c r="AG69" s="7">
        <f>IF(OR(N69=0,Q69=0),"",N69/Q69-1)</f>
        <v>0.54564315352697101</v>
      </c>
      <c r="AH69" s="1">
        <f>AD69+P69</f>
        <v>10206.5</v>
      </c>
      <c r="AI69" s="1"/>
      <c r="AJ69" s="1"/>
      <c r="AK69" s="1"/>
    </row>
    <row r="70" spans="2:39" x14ac:dyDescent="0.45">
      <c r="B70" t="s">
        <v>38</v>
      </c>
      <c r="C70" t="s">
        <v>77</v>
      </c>
      <c r="D70" t="str">
        <f t="shared" ref="D70:D81" si="160">C70</f>
        <v>META</v>
      </c>
      <c r="E70" t="s">
        <v>7</v>
      </c>
      <c r="F70" t="s">
        <v>40</v>
      </c>
      <c r="G70" t="s">
        <v>0</v>
      </c>
      <c r="H70" t="s">
        <v>1</v>
      </c>
      <c r="I70" t="s">
        <v>41</v>
      </c>
      <c r="L70" s="1"/>
      <c r="M70" s="1"/>
      <c r="N70" s="1">
        <v>2312</v>
      </c>
      <c r="O70" s="1">
        <f t="shared" si="116"/>
        <v>0</v>
      </c>
      <c r="P70" s="1">
        <f t="shared" si="107"/>
        <v>0</v>
      </c>
      <c r="Q70" s="1">
        <v>1848.12</v>
      </c>
      <c r="S70" s="12">
        <v>462.03</v>
      </c>
      <c r="T70">
        <v>4</v>
      </c>
      <c r="Z70" s="4">
        <v>1.37</v>
      </c>
      <c r="AA70" s="4">
        <f t="shared" si="108"/>
        <v>1.37</v>
      </c>
      <c r="AB70" s="1">
        <f t="shared" ref="AB70:AB81" si="161">SUM(L70:N70)</f>
        <v>2312</v>
      </c>
      <c r="AC70" s="1">
        <f t="shared" si="109"/>
        <v>2531.9243999999999</v>
      </c>
      <c r="AD70" s="1">
        <f t="shared" si="110"/>
        <v>3167.44</v>
      </c>
      <c r="AE70" s="1">
        <f t="shared" si="111"/>
        <v>463.88000000000011</v>
      </c>
      <c r="AF70" s="1">
        <f t="shared" si="112"/>
        <v>635.51560000000018</v>
      </c>
      <c r="AG70" s="7">
        <f t="shared" si="113"/>
        <v>0.25100101724996216</v>
      </c>
      <c r="AH70" s="1">
        <f t="shared" si="114"/>
        <v>3167.44</v>
      </c>
      <c r="AI70" s="1"/>
      <c r="AJ70" s="1"/>
      <c r="AK70" s="1"/>
    </row>
    <row r="71" spans="2:39" x14ac:dyDescent="0.45">
      <c r="B71" t="s">
        <v>38</v>
      </c>
      <c r="C71" t="s">
        <v>78</v>
      </c>
      <c r="D71" t="str">
        <f t="shared" si="160"/>
        <v>MU</v>
      </c>
      <c r="E71" t="s">
        <v>7</v>
      </c>
      <c r="F71" t="s">
        <v>40</v>
      </c>
      <c r="G71" t="s">
        <v>0</v>
      </c>
      <c r="H71" t="s">
        <v>1</v>
      </c>
      <c r="I71" t="s">
        <v>41</v>
      </c>
      <c r="L71" s="1"/>
      <c r="M71" s="1"/>
      <c r="N71" s="1">
        <v>46520</v>
      </c>
      <c r="O71" s="1">
        <f>L71+M71</f>
        <v>0</v>
      </c>
      <c r="P71" s="1">
        <f>IF(H71="USD",O71*Z71,O71)</f>
        <v>0</v>
      </c>
      <c r="Q71" s="1">
        <v>4240</v>
      </c>
      <c r="S71" s="12">
        <v>103.43</v>
      </c>
      <c r="T71">
        <v>41</v>
      </c>
      <c r="Z71" s="4">
        <v>1.37</v>
      </c>
      <c r="AA71" s="4">
        <f>IF(H71="USD",Z71,1)</f>
        <v>1.37</v>
      </c>
      <c r="AB71" s="1">
        <f t="shared" si="161"/>
        <v>46520</v>
      </c>
      <c r="AC71" s="1">
        <f>IF(Q71="",0,Q71*AA71)</f>
        <v>5808.8</v>
      </c>
      <c r="AD71" s="1">
        <f>IF(Q71="",0,N71*AA71)</f>
        <v>63732.4</v>
      </c>
      <c r="AE71" s="1">
        <f>IF(N71="",0,N71-Q71)</f>
        <v>42280</v>
      </c>
      <c r="AF71" s="1">
        <f>IF(N71="",0,AE71*AA71)</f>
        <v>57923.600000000006</v>
      </c>
      <c r="AG71" s="7">
        <f>IF(OR(N71=0,Q71=0),"",N71/Q71-1)</f>
        <v>9.9716981132075464</v>
      </c>
      <c r="AH71" s="1">
        <f>AD71+P71</f>
        <v>63732.4</v>
      </c>
      <c r="AI71" s="1"/>
      <c r="AJ71" s="1"/>
      <c r="AK71" s="1"/>
    </row>
    <row r="72" spans="2:39" x14ac:dyDescent="0.45">
      <c r="B72" t="s">
        <v>38</v>
      </c>
      <c r="C72" t="s">
        <v>79</v>
      </c>
      <c r="D72" t="str">
        <f t="shared" si="160"/>
        <v>ONDS</v>
      </c>
      <c r="E72" t="s">
        <v>7</v>
      </c>
      <c r="F72" t="s">
        <v>40</v>
      </c>
      <c r="G72" t="s">
        <v>0</v>
      </c>
      <c r="H72" t="s">
        <v>1</v>
      </c>
      <c r="I72" t="s">
        <v>41</v>
      </c>
      <c r="J72" s="2">
        <v>46034</v>
      </c>
      <c r="L72" s="1"/>
      <c r="M72" s="1"/>
      <c r="N72" s="1">
        <v>11772</v>
      </c>
      <c r="O72" s="1">
        <f t="shared" ref="O72" si="162">L72+M72</f>
        <v>0</v>
      </c>
      <c r="P72" s="1">
        <f t="shared" ref="P72" si="163">IF(H72="USD",O72*Z72,O72)</f>
        <v>0</v>
      </c>
      <c r="Q72" s="1">
        <v>16859</v>
      </c>
      <c r="S72" s="12">
        <v>13.275399999999999</v>
      </c>
      <c r="T72" s="1">
        <v>1270</v>
      </c>
      <c r="Z72" s="4">
        <v>1.37</v>
      </c>
      <c r="AA72" s="4">
        <f t="shared" ref="AA72" si="164">IF(H72="USD",Z72,1)</f>
        <v>1.37</v>
      </c>
      <c r="AB72" s="1">
        <f t="shared" ref="AB72" si="165">SUM(L72:N72)</f>
        <v>11772</v>
      </c>
      <c r="AC72" s="1">
        <f t="shared" ref="AC72" si="166">IF(Q72="",0,Q72*AA72)</f>
        <v>23096.83</v>
      </c>
      <c r="AD72" s="1">
        <f t="shared" ref="AD72" si="167">IF(Q72="",0,N72*AA72)</f>
        <v>16127.640000000001</v>
      </c>
      <c r="AE72" s="1">
        <f t="shared" ref="AE72" si="168">IF(N72="",0,N72-Q72)</f>
        <v>-5087</v>
      </c>
      <c r="AF72" s="1">
        <f t="shared" ref="AF72" si="169">IF(N72="",0,AE72*AA72)</f>
        <v>-6969.1900000000005</v>
      </c>
      <c r="AG72" s="7">
        <f t="shared" ref="AG72" si="170">IF(OR(N72=0,Q72=0),"",N72/Q72-1)</f>
        <v>-0.30173794412479982</v>
      </c>
      <c r="AH72" s="1">
        <f t="shared" ref="AH72" si="171">AD72+P72</f>
        <v>16127.640000000001</v>
      </c>
      <c r="AI72" s="1"/>
      <c r="AJ72" s="1"/>
      <c r="AK72" s="1"/>
    </row>
    <row r="73" spans="2:39" x14ac:dyDescent="0.45">
      <c r="B73" t="s">
        <v>38</v>
      </c>
      <c r="C73" t="s">
        <v>97</v>
      </c>
      <c r="D73" t="str">
        <f t="shared" si="160"/>
        <v>OSCR</v>
      </c>
      <c r="E73" t="s">
        <v>7</v>
      </c>
      <c r="F73" t="s">
        <v>40</v>
      </c>
      <c r="G73" t="s">
        <v>0</v>
      </c>
      <c r="H73" t="s">
        <v>1</v>
      </c>
      <c r="I73" t="s">
        <v>41</v>
      </c>
      <c r="L73" s="1"/>
      <c r="M73" s="1"/>
      <c r="N73" s="1">
        <v>8520</v>
      </c>
      <c r="O73" s="1">
        <f t="shared" ref="O73" si="172">L73+M73</f>
        <v>0</v>
      </c>
      <c r="P73" s="1">
        <f t="shared" ref="P73:P75" si="173">IF(H73="USD",O73*Z73,O73)</f>
        <v>0</v>
      </c>
      <c r="Q73" s="1">
        <v>4530</v>
      </c>
      <c r="S73" s="12">
        <v>15.1</v>
      </c>
      <c r="T73">
        <v>300</v>
      </c>
      <c r="U73" s="5"/>
      <c r="Z73" s="4">
        <v>1.37</v>
      </c>
      <c r="AA73" s="4">
        <f t="shared" ref="AA73:AA75" si="174">IF(H73="USD",Z73,1)</f>
        <v>1.37</v>
      </c>
      <c r="AB73" s="1">
        <f t="shared" si="161"/>
        <v>8520</v>
      </c>
      <c r="AC73" s="1">
        <f t="shared" ref="AC73:AC75" si="175">IF(Q73="",0,Q73*AA73)</f>
        <v>6206.1</v>
      </c>
      <c r="AD73" s="1">
        <f t="shared" ref="AD73:AD75" si="176">IF(Q73="",0,N73*AA73)</f>
        <v>11672.400000000001</v>
      </c>
      <c r="AE73" s="1">
        <f t="shared" ref="AE73:AE75" si="177">IF(N73="",0,N73-Q73)</f>
        <v>3990</v>
      </c>
      <c r="AF73" s="1">
        <f t="shared" ref="AF73:AF75" si="178">IF(N73="",0,AE73*AA73)</f>
        <v>5466.3</v>
      </c>
      <c r="AG73" s="7">
        <f t="shared" ref="AG73:AG75" si="179">IF(OR(N73=0,Q73=0),"",N73/Q73-1)</f>
        <v>0.88079470198675502</v>
      </c>
      <c r="AH73" s="1">
        <f t="shared" ref="AH73:AH75" si="180">AD73+P73</f>
        <v>11672.400000000001</v>
      </c>
      <c r="AI73" s="1"/>
      <c r="AJ73" s="1"/>
      <c r="AK73" s="1"/>
    </row>
    <row r="74" spans="2:39" x14ac:dyDescent="0.45">
      <c r="B74" t="s">
        <v>38</v>
      </c>
      <c r="C74" t="s">
        <v>111</v>
      </c>
      <c r="D74" t="str">
        <f t="shared" si="160"/>
        <v>zCash</v>
      </c>
      <c r="E74" t="s">
        <v>7</v>
      </c>
      <c r="F74" t="s">
        <v>40</v>
      </c>
      <c r="G74" t="s">
        <v>8</v>
      </c>
      <c r="H74" t="s">
        <v>45</v>
      </c>
      <c r="I74" t="s">
        <v>5</v>
      </c>
      <c r="J74" t="s">
        <v>110</v>
      </c>
      <c r="L74" s="1"/>
      <c r="M74" s="1"/>
      <c r="O74" s="1">
        <f t="shared" si="116"/>
        <v>0</v>
      </c>
      <c r="P74" s="1">
        <f t="shared" si="173"/>
        <v>0</v>
      </c>
      <c r="Z74" s="4">
        <v>1.37</v>
      </c>
      <c r="AA74" s="4">
        <f t="shared" si="174"/>
        <v>1</v>
      </c>
      <c r="AB74" s="1">
        <f t="shared" si="161"/>
        <v>0</v>
      </c>
      <c r="AC74" s="1">
        <f t="shared" si="175"/>
        <v>0</v>
      </c>
      <c r="AD74" s="1">
        <f t="shared" si="176"/>
        <v>0</v>
      </c>
      <c r="AE74" s="1">
        <f t="shared" si="177"/>
        <v>0</v>
      </c>
      <c r="AF74" s="1">
        <f t="shared" si="178"/>
        <v>0</v>
      </c>
      <c r="AG74" s="7" t="str">
        <f t="shared" si="179"/>
        <v/>
      </c>
      <c r="AH74" s="1">
        <f t="shared" si="180"/>
        <v>0</v>
      </c>
      <c r="AI74" s="1"/>
      <c r="AJ74" s="1"/>
      <c r="AK74" s="1"/>
    </row>
    <row r="75" spans="2:39" x14ac:dyDescent="0.45">
      <c r="B75" t="s">
        <v>38</v>
      </c>
      <c r="C75" t="s">
        <v>111</v>
      </c>
      <c r="D75" t="str">
        <f t="shared" si="160"/>
        <v>zCash</v>
      </c>
      <c r="E75" t="s">
        <v>7</v>
      </c>
      <c r="F75" t="s">
        <v>40</v>
      </c>
      <c r="G75" t="s">
        <v>8</v>
      </c>
      <c r="H75" t="s">
        <v>1</v>
      </c>
      <c r="I75" t="s">
        <v>5</v>
      </c>
      <c r="J75" t="s">
        <v>110</v>
      </c>
      <c r="L75" s="1">
        <v>249.72</v>
      </c>
      <c r="M75" s="1"/>
      <c r="O75" s="1">
        <f t="shared" si="116"/>
        <v>249.72</v>
      </c>
      <c r="P75" s="1">
        <f t="shared" si="173"/>
        <v>342.1164</v>
      </c>
      <c r="Z75" s="4">
        <v>1.37</v>
      </c>
      <c r="AA75" s="4">
        <f t="shared" si="174"/>
        <v>1.37</v>
      </c>
      <c r="AB75" s="1">
        <f t="shared" si="161"/>
        <v>249.72</v>
      </c>
      <c r="AC75" s="1">
        <f t="shared" si="175"/>
        <v>0</v>
      </c>
      <c r="AD75" s="1">
        <f t="shared" si="176"/>
        <v>0</v>
      </c>
      <c r="AE75" s="1">
        <f t="shared" si="177"/>
        <v>0</v>
      </c>
      <c r="AF75" s="1">
        <f t="shared" si="178"/>
        <v>0</v>
      </c>
      <c r="AG75" s="7" t="str">
        <f t="shared" si="179"/>
        <v/>
      </c>
      <c r="AH75" s="1">
        <f t="shared" si="180"/>
        <v>342.1164</v>
      </c>
      <c r="AI75" s="1"/>
      <c r="AJ75" s="1"/>
      <c r="AK75" s="1"/>
      <c r="AM75">
        <f>1600*9*1.5</f>
        <v>21600</v>
      </c>
    </row>
    <row r="76" spans="2:39" x14ac:dyDescent="0.45">
      <c r="B76" t="s">
        <v>38</v>
      </c>
      <c r="C76" t="s">
        <v>98</v>
      </c>
      <c r="D76" t="str">
        <f t="shared" si="160"/>
        <v>GOOGL</v>
      </c>
      <c r="E76" t="s">
        <v>7</v>
      </c>
      <c r="F76" t="s">
        <v>40</v>
      </c>
      <c r="G76" t="s">
        <v>8</v>
      </c>
      <c r="H76" t="s">
        <v>1</v>
      </c>
      <c r="I76" t="s">
        <v>41</v>
      </c>
      <c r="L76" s="1"/>
      <c r="M76" s="1"/>
      <c r="N76" s="1">
        <v>1842</v>
      </c>
      <c r="O76" s="1">
        <f>L76+M76</f>
        <v>0</v>
      </c>
      <c r="P76" s="1">
        <f>IF(H76="USD",O76*Z76,O76)</f>
        <v>0</v>
      </c>
      <c r="Q76" s="1">
        <v>628.45000000000005</v>
      </c>
      <c r="S76" s="12">
        <v>125.69</v>
      </c>
      <c r="T76">
        <v>5</v>
      </c>
      <c r="U76" s="5"/>
      <c r="Z76" s="4">
        <v>1.37</v>
      </c>
      <c r="AA76" s="4">
        <f>IF(H76="USD",Z76,1)</f>
        <v>1.37</v>
      </c>
      <c r="AB76" s="1">
        <f t="shared" si="161"/>
        <v>1842</v>
      </c>
      <c r="AC76" s="1">
        <f>IF(Q76="",0,Q76*AA76)</f>
        <v>860.9765000000001</v>
      </c>
      <c r="AD76" s="1">
        <f>IF(Q76="",0,N76*AA76)</f>
        <v>2523.5400000000004</v>
      </c>
      <c r="AE76" s="1">
        <f>IF(N76="",0,N76-Q76)</f>
        <v>1213.55</v>
      </c>
      <c r="AF76" s="1">
        <f>IF(N76="",0,AE76*AA76)</f>
        <v>1662.5635</v>
      </c>
      <c r="AG76" s="7">
        <f>IF(OR(N76=0,Q76=0),"",N76/Q76-1)</f>
        <v>1.9310207653751292</v>
      </c>
      <c r="AH76" s="1">
        <f>AD76+P76</f>
        <v>2523.5400000000004</v>
      </c>
      <c r="AI76" s="1"/>
      <c r="AJ76" s="1"/>
      <c r="AK76" s="1"/>
    </row>
    <row r="77" spans="2:39" x14ac:dyDescent="0.45">
      <c r="B77" t="s">
        <v>38</v>
      </c>
      <c r="C77" t="s">
        <v>77</v>
      </c>
      <c r="D77" t="str">
        <f t="shared" si="160"/>
        <v>META</v>
      </c>
      <c r="E77" t="s">
        <v>7</v>
      </c>
      <c r="F77" t="s">
        <v>40</v>
      </c>
      <c r="G77" t="s">
        <v>8</v>
      </c>
      <c r="H77" t="s">
        <v>1</v>
      </c>
      <c r="I77" t="s">
        <v>41</v>
      </c>
      <c r="L77" s="1"/>
      <c r="M77" s="1"/>
      <c r="N77" s="1">
        <v>4625</v>
      </c>
      <c r="O77" s="1">
        <f>L77+M77</f>
        <v>0</v>
      </c>
      <c r="P77" s="1">
        <f>IF(H77="USD",O77*Z77,O77)</f>
        <v>0</v>
      </c>
      <c r="Q77" s="1">
        <v>3547.01</v>
      </c>
      <c r="S77" s="12">
        <v>443.37630000000001</v>
      </c>
      <c r="T77">
        <v>8</v>
      </c>
      <c r="Z77" s="4">
        <v>1.37</v>
      </c>
      <c r="AA77" s="4">
        <f>IF(H77="USD",Z77,1)</f>
        <v>1.37</v>
      </c>
      <c r="AB77" s="1">
        <f t="shared" si="161"/>
        <v>4625</v>
      </c>
      <c r="AC77" s="1">
        <f>IF(Q77="",0,Q77*AA77)</f>
        <v>4859.4037000000008</v>
      </c>
      <c r="AD77" s="1">
        <f>IF(Q77="",0,N77*AA77)</f>
        <v>6336.2500000000009</v>
      </c>
      <c r="AE77" s="1">
        <f>IF(N77="",0,N77-Q77)</f>
        <v>1077.9899999999998</v>
      </c>
      <c r="AF77" s="1">
        <f>IF(N77="",0,AE77*AA77)</f>
        <v>1476.8462999999999</v>
      </c>
      <c r="AG77" s="7">
        <f>IF(OR(N77=0,Q77=0),"",N77/Q77-1)</f>
        <v>0.30391512851669433</v>
      </c>
      <c r="AH77" s="1">
        <f>AD77+P77</f>
        <v>6336.2500000000009</v>
      </c>
      <c r="AI77" s="1"/>
      <c r="AJ77" s="1"/>
      <c r="AK77" s="1"/>
    </row>
    <row r="78" spans="2:39" x14ac:dyDescent="0.45">
      <c r="B78" t="s">
        <v>38</v>
      </c>
      <c r="C78" t="s">
        <v>94</v>
      </c>
      <c r="D78" t="str">
        <f t="shared" si="160"/>
        <v>MSFT</v>
      </c>
      <c r="E78" t="s">
        <v>7</v>
      </c>
      <c r="F78" t="s">
        <v>40</v>
      </c>
      <c r="G78" t="s">
        <v>8</v>
      </c>
      <c r="H78" t="s">
        <v>1</v>
      </c>
      <c r="I78" t="s">
        <v>41</v>
      </c>
      <c r="J78" s="2">
        <v>46079</v>
      </c>
      <c r="L78" s="1"/>
      <c r="M78" s="1"/>
      <c r="N78" s="1">
        <v>3414</v>
      </c>
      <c r="O78" s="1">
        <f>L78+M78</f>
        <v>0</v>
      </c>
      <c r="P78" s="1">
        <f>IF(H78="USD",O78*Z78,O78)</f>
        <v>0</v>
      </c>
      <c r="Q78" s="1">
        <v>3580</v>
      </c>
      <c r="S78" s="12">
        <v>397.8</v>
      </c>
      <c r="T78">
        <v>9</v>
      </c>
      <c r="Z78" s="4">
        <v>1.37</v>
      </c>
      <c r="AA78" s="4">
        <f>IF(H78="USD",Z78,1)</f>
        <v>1.37</v>
      </c>
      <c r="AB78" s="1">
        <f t="shared" ref="AB78" si="181">SUM(L78:N78)</f>
        <v>3414</v>
      </c>
      <c r="AC78" s="1">
        <f>IF(Q78="",0,Q78*AA78)</f>
        <v>4904.6000000000004</v>
      </c>
      <c r="AD78" s="1">
        <f>IF(Q78="",0,N78*AA78)</f>
        <v>4677.18</v>
      </c>
      <c r="AE78" s="1">
        <f>IF(N78="",0,N78-Q78)</f>
        <v>-166</v>
      </c>
      <c r="AF78" s="1">
        <f>IF(N78="",0,AE78*AA78)</f>
        <v>-227.42000000000002</v>
      </c>
      <c r="AG78" s="7">
        <f>IF(OR(N78=0,Q78=0),"",N78/Q78-1)</f>
        <v>-4.6368715083798917E-2</v>
      </c>
      <c r="AH78" s="1">
        <f>AD78+P78</f>
        <v>4677.18</v>
      </c>
      <c r="AI78" s="1"/>
      <c r="AJ78" s="1"/>
      <c r="AK78" s="1"/>
    </row>
    <row r="79" spans="2:39" x14ac:dyDescent="0.45">
      <c r="B79" t="s">
        <v>38</v>
      </c>
      <c r="C79" t="s">
        <v>101</v>
      </c>
      <c r="D79" t="str">
        <f t="shared" si="160"/>
        <v>QQQ</v>
      </c>
      <c r="E79" t="s">
        <v>7</v>
      </c>
      <c r="F79" t="s">
        <v>40</v>
      </c>
      <c r="G79" t="s">
        <v>8</v>
      </c>
      <c r="H79" t="s">
        <v>1</v>
      </c>
      <c r="I79" t="s">
        <v>74</v>
      </c>
      <c r="J79" s="2">
        <v>45982</v>
      </c>
      <c r="K79" s="2"/>
      <c r="L79" s="1"/>
      <c r="M79" s="1"/>
      <c r="N79" s="27">
        <v>3712</v>
      </c>
      <c r="O79" s="1">
        <f>L79+M79</f>
        <v>0</v>
      </c>
      <c r="P79" s="1">
        <f>IF(H79="USD",O79*Z79,O79)</f>
        <v>0</v>
      </c>
      <c r="Q79" s="1">
        <v>1914.94</v>
      </c>
      <c r="S79" s="12">
        <v>382.988</v>
      </c>
      <c r="T79">
        <v>5</v>
      </c>
      <c r="Z79" s="4">
        <v>1.37</v>
      </c>
      <c r="AA79" s="4">
        <f>IF(H79="USD",Z79,1)</f>
        <v>1.37</v>
      </c>
      <c r="AB79" s="1">
        <f t="shared" si="161"/>
        <v>3712</v>
      </c>
      <c r="AC79" s="1">
        <f>IF(Q79="",0,Q79*AA79)</f>
        <v>2623.4678000000004</v>
      </c>
      <c r="AD79" s="1">
        <f>IF(Q79="",0,N79*AA79)</f>
        <v>5085.4400000000005</v>
      </c>
      <c r="AE79" s="1">
        <f>IF(N79="",0,N79-Q79)</f>
        <v>1797.06</v>
      </c>
      <c r="AF79" s="1">
        <f>IF(N79="",0,AE79*AA79)</f>
        <v>2461.9722000000002</v>
      </c>
      <c r="AG79" s="7">
        <f>IF(OR(N79=0,Q79=0),"",N79/Q79-1)</f>
        <v>0.93844193551756194</v>
      </c>
      <c r="AH79" s="1">
        <f>AD79+P79</f>
        <v>5085.4400000000005</v>
      </c>
      <c r="AI79" s="1"/>
      <c r="AJ79" s="1"/>
      <c r="AK79" s="1"/>
    </row>
    <row r="80" spans="2:39" x14ac:dyDescent="0.45">
      <c r="B80" t="s">
        <v>38</v>
      </c>
      <c r="C80" t="s">
        <v>42</v>
      </c>
      <c r="D80" t="str">
        <f t="shared" si="160"/>
        <v>SOFI</v>
      </c>
      <c r="E80" t="s">
        <v>7</v>
      </c>
      <c r="F80" t="s">
        <v>40</v>
      </c>
      <c r="G80" t="s">
        <v>8</v>
      </c>
      <c r="H80" t="s">
        <v>1</v>
      </c>
      <c r="I80" t="s">
        <v>41</v>
      </c>
      <c r="J80" s="2">
        <v>46006</v>
      </c>
      <c r="L80" s="1">
        <v>0</v>
      </c>
      <c r="M80" s="1"/>
      <c r="N80" s="1">
        <v>6089</v>
      </c>
      <c r="O80" s="1">
        <f t="shared" ref="O80" si="182">L80+M80</f>
        <v>0</v>
      </c>
      <c r="P80" s="1">
        <f t="shared" ref="P80" si="183">IF(H80="USD",O80*Z80,O80)</f>
        <v>0</v>
      </c>
      <c r="Q80" s="1">
        <v>9451.7900000000009</v>
      </c>
      <c r="T80">
        <v>340</v>
      </c>
      <c r="Z80" s="4">
        <v>1.37</v>
      </c>
      <c r="AA80" s="4">
        <f t="shared" ref="AA80" si="184">IF(H80="USD",Z80,1)</f>
        <v>1.37</v>
      </c>
      <c r="AB80" s="1">
        <f>SUM(L80:N80)</f>
        <v>6089</v>
      </c>
      <c r="AC80" s="1">
        <f t="shared" ref="AC80" si="185">IF(Q80="",0,Q80*AA80)</f>
        <v>12948.952300000003</v>
      </c>
      <c r="AD80" s="1">
        <f t="shared" ref="AD80" si="186">IF(Q80="",0,N80*AA80)</f>
        <v>8341.93</v>
      </c>
      <c r="AE80" s="1">
        <f t="shared" ref="AE80" si="187">IF(N80="",0,N80-Q80)</f>
        <v>-3362.7900000000009</v>
      </c>
      <c r="AF80" s="1">
        <f t="shared" ref="AF80" si="188">IF(N80="",0,AE80*AA80)</f>
        <v>-4607.0223000000015</v>
      </c>
      <c r="AG80" s="7">
        <f t="shared" ref="AG80" si="189">IF(OR(N80=0,Q80=0),"",N80/Q80-1)</f>
        <v>-0.35578340187414237</v>
      </c>
      <c r="AH80" s="1">
        <f t="shared" ref="AH80" si="190">AD80+P80</f>
        <v>8341.93</v>
      </c>
      <c r="AI80" s="1"/>
      <c r="AJ80" s="1"/>
      <c r="AK80" s="1"/>
    </row>
    <row r="81" spans="2:37" x14ac:dyDescent="0.45">
      <c r="B81" t="s">
        <v>38</v>
      </c>
      <c r="C81" t="s">
        <v>102</v>
      </c>
      <c r="D81" t="str">
        <f t="shared" si="160"/>
        <v>SOXX</v>
      </c>
      <c r="E81" t="s">
        <v>7</v>
      </c>
      <c r="F81" t="s">
        <v>40</v>
      </c>
      <c r="G81" t="s">
        <v>8</v>
      </c>
      <c r="H81" t="s">
        <v>1</v>
      </c>
      <c r="I81" t="s">
        <v>74</v>
      </c>
      <c r="L81" s="1"/>
      <c r="M81" s="1"/>
      <c r="N81" s="27">
        <v>5755</v>
      </c>
      <c r="O81" s="1">
        <f>L81+M81</f>
        <v>0</v>
      </c>
      <c r="P81" s="1">
        <f>IF(H81="USD",O81*Z81,O81)</f>
        <v>0</v>
      </c>
      <c r="Q81" s="1">
        <v>1818.59</v>
      </c>
      <c r="S81" s="12">
        <v>202.06559999999999</v>
      </c>
      <c r="T81">
        <v>9</v>
      </c>
      <c r="Z81" s="4">
        <v>1.37</v>
      </c>
      <c r="AA81" s="4">
        <f>IF(H81="USD",Z81,1)</f>
        <v>1.37</v>
      </c>
      <c r="AB81" s="1">
        <f t="shared" si="161"/>
        <v>5755</v>
      </c>
      <c r="AC81" s="1">
        <f>IF(Q81="",0,Q81*AA81)</f>
        <v>2491.4683</v>
      </c>
      <c r="AD81" s="1">
        <f>IF(Q81="",0,N81*AA81)</f>
        <v>7884.35</v>
      </c>
      <c r="AE81" s="1">
        <f>IF(N81="",0,N81-Q81)</f>
        <v>3936.41</v>
      </c>
      <c r="AF81" s="1">
        <f>IF(N81="",0,AE81*AA81)</f>
        <v>5392.8816999999999</v>
      </c>
      <c r="AG81" s="7">
        <f>IF(OR(N81=0,Q81=0),"",N81/Q81-1)</f>
        <v>2.1645395608685853</v>
      </c>
      <c r="AH81" s="1">
        <f>AD81+P81</f>
        <v>7884.35</v>
      </c>
      <c r="AI81" s="1"/>
      <c r="AJ81" s="1"/>
      <c r="AK81" s="1"/>
    </row>
    <row r="84" spans="2:37" x14ac:dyDescent="0.45">
      <c r="J84" s="2"/>
      <c r="L84" s="1"/>
      <c r="M84" s="1"/>
      <c r="O84" s="1"/>
      <c r="P84" s="1"/>
      <c r="T84" s="1"/>
      <c r="U84" s="1"/>
      <c r="V84" s="1"/>
      <c r="W84" s="1"/>
      <c r="Z84" s="4"/>
      <c r="AA84" s="4"/>
      <c r="AB84" s="4"/>
      <c r="AC84" s="1"/>
      <c r="AD84" s="1"/>
      <c r="AE84" s="1"/>
      <c r="AF84" s="1"/>
      <c r="AG84" s="7"/>
      <c r="AH84" s="1"/>
      <c r="AI84" s="1"/>
      <c r="AJ84" s="1"/>
      <c r="AK84" s="1"/>
    </row>
    <row r="85" spans="2:37" x14ac:dyDescent="0.45">
      <c r="J85" s="2"/>
      <c r="L85" s="1"/>
      <c r="M85" s="1"/>
      <c r="O85" s="1"/>
      <c r="P85" s="1"/>
      <c r="T85" s="1"/>
      <c r="U85" s="1"/>
      <c r="V85" s="1"/>
      <c r="W85" s="1"/>
      <c r="Z85" s="4"/>
      <c r="AA85" s="4"/>
      <c r="AB85" s="4"/>
      <c r="AC85" s="1"/>
      <c r="AD85" s="1"/>
      <c r="AE85" s="1"/>
      <c r="AF85" s="1"/>
      <c r="AG85" s="7"/>
      <c r="AH85" s="1"/>
      <c r="AI85" s="1"/>
      <c r="AJ85" s="1"/>
      <c r="AK85" s="1"/>
    </row>
    <row r="86" spans="2:37" x14ac:dyDescent="0.45">
      <c r="J86" s="2"/>
      <c r="L86" s="1"/>
      <c r="M86" s="1"/>
      <c r="O86" s="1"/>
      <c r="P86" s="1"/>
      <c r="T86" s="1"/>
      <c r="U86" s="1"/>
      <c r="V86" s="1"/>
      <c r="W86" s="1"/>
      <c r="Z86" s="4"/>
      <c r="AA86" s="4"/>
      <c r="AB86" s="4"/>
      <c r="AC86" s="1"/>
      <c r="AD86" s="1"/>
      <c r="AE86" s="1"/>
      <c r="AF86" s="1"/>
      <c r="AG86" s="7"/>
      <c r="AH86" s="1"/>
      <c r="AI86" s="1"/>
      <c r="AJ86" s="1"/>
      <c r="AK86" s="1"/>
    </row>
    <row r="87" spans="2:37" x14ac:dyDescent="0.45">
      <c r="J87" s="2"/>
      <c r="L87" s="1"/>
      <c r="M87" s="1"/>
      <c r="O87" s="1"/>
      <c r="P87" s="1"/>
      <c r="T87" s="1"/>
      <c r="U87" s="1"/>
      <c r="V87" s="1"/>
      <c r="W87" s="1"/>
      <c r="Z87" s="4"/>
      <c r="AA87" s="4"/>
      <c r="AB87" s="4"/>
      <c r="AC87" s="1"/>
      <c r="AD87" s="1"/>
      <c r="AE87" s="1"/>
      <c r="AF87" s="1"/>
      <c r="AG87" s="7"/>
      <c r="AH87" s="1"/>
      <c r="AI87" s="1"/>
      <c r="AJ87" s="1"/>
      <c r="AK87" s="1"/>
    </row>
    <row r="88" spans="2:37" x14ac:dyDescent="0.45">
      <c r="J88" s="2"/>
      <c r="L88" s="1"/>
      <c r="M88" s="1"/>
      <c r="O88" s="1"/>
      <c r="P88" s="1"/>
      <c r="T88" s="1"/>
      <c r="U88" s="1"/>
      <c r="V88" s="1"/>
      <c r="W88" s="1"/>
      <c r="Z88" s="4"/>
      <c r="AA88" s="4"/>
      <c r="AB88" s="4"/>
      <c r="AC88" s="1"/>
      <c r="AD88" s="1"/>
      <c r="AE88" s="1"/>
      <c r="AF88" s="1"/>
      <c r="AG88" s="7"/>
      <c r="AH88" s="1"/>
      <c r="AI88" s="1"/>
      <c r="AJ88" s="1"/>
      <c r="AK88" s="1"/>
    </row>
    <row r="89" spans="2:37" s="8" customFormat="1" x14ac:dyDescent="0.45">
      <c r="B89" s="8" t="s">
        <v>38</v>
      </c>
      <c r="C89" s="8" t="s">
        <v>83</v>
      </c>
      <c r="D89" s="8" t="str">
        <f>C89</f>
        <v>PATH</v>
      </c>
      <c r="E89" s="8" t="s">
        <v>7</v>
      </c>
      <c r="F89" s="8" t="s">
        <v>40</v>
      </c>
      <c r="G89" s="8" t="s">
        <v>5</v>
      </c>
      <c r="H89" s="8" t="s">
        <v>1</v>
      </c>
      <c r="I89" s="8" t="s">
        <v>41</v>
      </c>
      <c r="J89" s="16">
        <v>45987</v>
      </c>
      <c r="K89" s="16">
        <v>46171</v>
      </c>
      <c r="L89" s="17"/>
      <c r="M89" s="17"/>
      <c r="N89" s="17"/>
      <c r="O89" s="17">
        <f t="shared" ref="O89" si="191">L89+M89</f>
        <v>0</v>
      </c>
      <c r="P89" s="17">
        <f t="shared" ref="P89" si="192">IF(H89="USD",O89*Z89,O89)</f>
        <v>0</v>
      </c>
      <c r="Q89" s="17"/>
      <c r="R89" s="17">
        <v>15046</v>
      </c>
      <c r="S89" s="18">
        <v>13.697100000000001</v>
      </c>
      <c r="U89" s="17">
        <v>1100</v>
      </c>
      <c r="V89" s="17">
        <v>12925</v>
      </c>
      <c r="W89" s="18">
        <v>11.75</v>
      </c>
      <c r="X89" s="17">
        <f>V89-R89</f>
        <v>-2121</v>
      </c>
      <c r="Y89" s="17">
        <f t="shared" ref="Y89" si="193">IF(H89="USD",X89*Z89,X89*1)</f>
        <v>-2905.7700000000004</v>
      </c>
      <c r="Z89" s="19">
        <v>1.37</v>
      </c>
      <c r="AA89" s="19">
        <f t="shared" ref="AA89" si="194">IF(H89="USD",Z89,1)</f>
        <v>1.37</v>
      </c>
      <c r="AB89" s="17">
        <f>SUM(L89:N89)</f>
        <v>0</v>
      </c>
      <c r="AC89" s="17">
        <f t="shared" ref="AC89" si="195">IF(Q89="",0,Q89*AA89)</f>
        <v>0</v>
      </c>
      <c r="AD89" s="17">
        <f t="shared" ref="AD89" si="196">IF(Q89="",0,N89*AA89)</f>
        <v>0</v>
      </c>
      <c r="AE89" s="17">
        <f t="shared" ref="AE89" si="197">IF(N89="",0,N89-Q89)</f>
        <v>0</v>
      </c>
      <c r="AF89" s="17">
        <f t="shared" ref="AF89" si="198">IF(N89="",0,AE89*AA89)</f>
        <v>0</v>
      </c>
      <c r="AG89" s="20" t="str">
        <f t="shared" ref="AG89" si="199">IF(OR(N89=0,Q89=0),"",N89/Q89-1)</f>
        <v/>
      </c>
      <c r="AH89" s="17">
        <f t="shared" ref="AH89" si="200">AD89+P89</f>
        <v>0</v>
      </c>
      <c r="AI89" s="17"/>
      <c r="AJ89" s="17"/>
      <c r="AK89" s="17"/>
    </row>
    <row r="90" spans="2:37" s="8" customFormat="1" x14ac:dyDescent="0.45">
      <c r="B90" s="8" t="s">
        <v>38</v>
      </c>
      <c r="C90" s="8" t="s">
        <v>76</v>
      </c>
      <c r="D90" s="8" t="str">
        <f t="shared" ref="D90:D95" si="201">C90</f>
        <v>BURU</v>
      </c>
      <c r="E90" s="8" t="s">
        <v>6</v>
      </c>
      <c r="F90" s="8" t="s">
        <v>43</v>
      </c>
      <c r="G90" s="8" t="s">
        <v>9</v>
      </c>
      <c r="H90" s="8" t="s">
        <v>45</v>
      </c>
      <c r="I90" s="8" t="s">
        <v>41</v>
      </c>
      <c r="J90" s="16">
        <v>45950</v>
      </c>
      <c r="K90" s="16">
        <v>46162</v>
      </c>
      <c r="L90" s="17"/>
      <c r="M90" s="17"/>
      <c r="N90" s="17"/>
      <c r="O90" s="17"/>
      <c r="P90" s="17">
        <f t="shared" ref="P90" si="202">IF(H90="USD",O90*Z90,O90)</f>
        <v>0</v>
      </c>
      <c r="Q90" s="17"/>
      <c r="R90" s="17">
        <v>3570.76</v>
      </c>
      <c r="S90" s="18">
        <v>0.7</v>
      </c>
      <c r="T90" s="17"/>
      <c r="U90" s="17">
        <v>1002</v>
      </c>
      <c r="V90" s="17">
        <v>250.63</v>
      </c>
      <c r="W90" s="17">
        <v>0.19</v>
      </c>
      <c r="X90" s="17">
        <f>V90-R90</f>
        <v>-3320.13</v>
      </c>
      <c r="Y90" s="17">
        <f t="shared" ref="Y90" si="203">IF(H90="USD",X90*Z90,X90*1)</f>
        <v>-3320.13</v>
      </c>
      <c r="Z90" s="19">
        <v>1.37</v>
      </c>
      <c r="AA90" s="19">
        <f t="shared" ref="AA90" si="204">IF(H90="USD",Z90,1)</f>
        <v>1</v>
      </c>
      <c r="AB90" s="17">
        <f t="shared" ref="AB90:AB99" si="205">SUM(L90:N90)</f>
        <v>0</v>
      </c>
      <c r="AC90" s="17">
        <f t="shared" ref="AC90" si="206">IF(Q90="",0,Q90*AA90)</f>
        <v>0</v>
      </c>
      <c r="AD90" s="17">
        <f t="shared" ref="AD90" si="207">IF(Q90="",0,N90*AA90)</f>
        <v>0</v>
      </c>
      <c r="AE90" s="17">
        <f t="shared" ref="AE90" si="208">IF(N90="",0,N90-Q90)</f>
        <v>0</v>
      </c>
      <c r="AF90" s="17">
        <f t="shared" ref="AF90" si="209">IF(N90="",0,AE90*AA90)</f>
        <v>0</v>
      </c>
      <c r="AG90" s="20" t="str">
        <f t="shared" ref="AG90" si="210">IF(OR(N90=0,Q90=0),"",N90/Q90-1)</f>
        <v/>
      </c>
      <c r="AH90" s="17">
        <f t="shared" ref="AH90" si="211">AD90+P90</f>
        <v>0</v>
      </c>
      <c r="AI90" s="17"/>
      <c r="AJ90" s="17"/>
      <c r="AK90" s="17"/>
    </row>
    <row r="91" spans="2:37" s="8" customFormat="1" x14ac:dyDescent="0.45">
      <c r="B91" s="8" t="s">
        <v>38</v>
      </c>
      <c r="C91" s="8" t="s">
        <v>91</v>
      </c>
      <c r="D91" s="8" t="str">
        <f t="shared" si="201"/>
        <v>UNH</v>
      </c>
      <c r="E91" s="8" t="s">
        <v>6</v>
      </c>
      <c r="F91" s="8" t="s">
        <v>40</v>
      </c>
      <c r="G91" s="8" t="s">
        <v>8</v>
      </c>
      <c r="H91" s="8" t="s">
        <v>1</v>
      </c>
      <c r="I91" s="8" t="s">
        <v>41</v>
      </c>
      <c r="J91" s="16">
        <v>45849</v>
      </c>
      <c r="K91" s="16">
        <v>46162</v>
      </c>
      <c r="L91" s="17"/>
      <c r="M91" s="17"/>
      <c r="N91" s="17"/>
      <c r="O91" s="17">
        <f>L91+M91</f>
        <v>0</v>
      </c>
      <c r="P91" s="17">
        <f t="shared" ref="P91:P98" si="212">IF(H91="USD",O91*Z91,O91)</f>
        <v>0</v>
      </c>
      <c r="Q91" s="17"/>
      <c r="R91" s="17">
        <v>6654.5</v>
      </c>
      <c r="S91" s="18">
        <v>302.5</v>
      </c>
      <c r="T91" s="17"/>
      <c r="U91" s="17">
        <v>23</v>
      </c>
      <c r="V91" s="17">
        <f>8923+125</f>
        <v>9048</v>
      </c>
      <c r="W91" s="17">
        <f>V91/23</f>
        <v>393.39130434782606</v>
      </c>
      <c r="X91" s="17">
        <f t="shared" ref="X91:X139" si="213">V91-R91</f>
        <v>2393.5</v>
      </c>
      <c r="Y91" s="17">
        <f t="shared" ref="Y91:Y139" si="214">IF(H91="USD",X91*Z91,X91*1)</f>
        <v>3279.0950000000003</v>
      </c>
      <c r="Z91" s="19">
        <v>1.37</v>
      </c>
      <c r="AA91" s="19">
        <f t="shared" ref="AA91:AA98" si="215">IF(H91="USD",Z91,1)</f>
        <v>1.37</v>
      </c>
      <c r="AB91" s="17">
        <f t="shared" si="205"/>
        <v>0</v>
      </c>
      <c r="AC91" s="17">
        <f t="shared" ref="AC91:AC98" si="216">IF(Q91="",0,Q91*AA91)</f>
        <v>0</v>
      </c>
      <c r="AD91" s="17">
        <f t="shared" ref="AD91:AD98" si="217">IF(Q91="",0,N91*AA91)</f>
        <v>0</v>
      </c>
      <c r="AE91" s="17">
        <f t="shared" ref="AE91:AE98" si="218">IF(N91="",0,N91-Q91)</f>
        <v>0</v>
      </c>
      <c r="AF91" s="17">
        <f t="shared" ref="AF91:AF98" si="219">IF(N91="",0,AE91*AA91)</f>
        <v>0</v>
      </c>
      <c r="AG91" s="20" t="str">
        <f t="shared" ref="AG91:AG98" si="220">IF(OR(N91=0,Q91=0),"",N91/Q91-1)</f>
        <v/>
      </c>
      <c r="AH91" s="17">
        <f t="shared" ref="AH91:AH98" si="221">AD91+P91</f>
        <v>0</v>
      </c>
      <c r="AI91" s="17"/>
      <c r="AJ91" s="17"/>
      <c r="AK91" s="17"/>
    </row>
    <row r="92" spans="2:37" s="8" customFormat="1" x14ac:dyDescent="0.45">
      <c r="B92" s="8" t="s">
        <v>38</v>
      </c>
      <c r="C92" s="8" t="s">
        <v>85</v>
      </c>
      <c r="D92" s="8" t="str">
        <f t="shared" si="201"/>
        <v>XIU</v>
      </c>
      <c r="E92" s="8" t="s">
        <v>6</v>
      </c>
      <c r="F92" s="8" t="s">
        <v>40</v>
      </c>
      <c r="G92" s="8" t="s">
        <v>8</v>
      </c>
      <c r="H92" s="8" t="s">
        <v>45</v>
      </c>
      <c r="I92" s="8" t="s">
        <v>74</v>
      </c>
      <c r="K92" s="16">
        <v>46162</v>
      </c>
      <c r="L92" s="17"/>
      <c r="M92" s="17"/>
      <c r="N92" s="17" t="s">
        <v>106</v>
      </c>
      <c r="O92" s="17">
        <f>L92+M92</f>
        <v>0</v>
      </c>
      <c r="P92" s="17">
        <f t="shared" si="212"/>
        <v>0</v>
      </c>
      <c r="Q92" s="17"/>
      <c r="R92" s="17">
        <v>2997.15</v>
      </c>
      <c r="S92" s="18">
        <v>30.3</v>
      </c>
      <c r="T92" s="17"/>
      <c r="U92" s="17">
        <v>100</v>
      </c>
      <c r="V92" s="17">
        <v>5056</v>
      </c>
      <c r="W92" s="17">
        <v>50.56</v>
      </c>
      <c r="X92" s="17">
        <f t="shared" si="213"/>
        <v>2058.85</v>
      </c>
      <c r="Y92" s="17">
        <f t="shared" si="214"/>
        <v>2058.85</v>
      </c>
      <c r="Z92" s="19">
        <v>1.37</v>
      </c>
      <c r="AA92" s="19">
        <f t="shared" si="215"/>
        <v>1</v>
      </c>
      <c r="AB92" s="17">
        <f t="shared" si="205"/>
        <v>0</v>
      </c>
      <c r="AC92" s="17">
        <f t="shared" si="216"/>
        <v>0</v>
      </c>
      <c r="AD92" s="17">
        <f t="shared" si="217"/>
        <v>0</v>
      </c>
      <c r="AE92" s="17" t="e">
        <f t="shared" si="218"/>
        <v>#VALUE!</v>
      </c>
      <c r="AF92" s="17" t="e">
        <f t="shared" si="219"/>
        <v>#VALUE!</v>
      </c>
      <c r="AG92" s="20" t="str">
        <f t="shared" si="220"/>
        <v/>
      </c>
      <c r="AH92" s="17">
        <f t="shared" si="221"/>
        <v>0</v>
      </c>
      <c r="AI92" s="17"/>
      <c r="AJ92" s="17"/>
      <c r="AK92" s="17"/>
    </row>
    <row r="93" spans="2:37" s="8" customFormat="1" x14ac:dyDescent="0.45">
      <c r="B93" s="8" t="s">
        <v>38</v>
      </c>
      <c r="C93" s="8" t="s">
        <v>86</v>
      </c>
      <c r="D93" s="8" t="str">
        <f t="shared" si="201"/>
        <v>XSP</v>
      </c>
      <c r="E93" s="8" t="s">
        <v>6</v>
      </c>
      <c r="F93" s="8" t="s">
        <v>40</v>
      </c>
      <c r="G93" s="8" t="s">
        <v>8</v>
      </c>
      <c r="H93" s="8" t="s">
        <v>45</v>
      </c>
      <c r="I93" s="8" t="s">
        <v>74</v>
      </c>
      <c r="K93" s="16">
        <v>46162</v>
      </c>
      <c r="L93" s="17"/>
      <c r="M93" s="17"/>
      <c r="N93" s="17"/>
      <c r="O93" s="17">
        <f>L93+M93</f>
        <v>0</v>
      </c>
      <c r="P93" s="17">
        <f t="shared" si="212"/>
        <v>0</v>
      </c>
      <c r="Q93" s="17"/>
      <c r="R93" s="18">
        <v>5473.7768999999998</v>
      </c>
      <c r="S93" s="18">
        <v>50.223100000000002</v>
      </c>
      <c r="T93" s="17"/>
      <c r="U93" s="17">
        <v>110</v>
      </c>
      <c r="V93" s="17">
        <v>8229</v>
      </c>
      <c r="W93" s="17">
        <v>74.81</v>
      </c>
      <c r="X93" s="17">
        <f t="shared" si="213"/>
        <v>2755.2231000000002</v>
      </c>
      <c r="Y93" s="17">
        <f t="shared" si="214"/>
        <v>2755.2231000000002</v>
      </c>
      <c r="Z93" s="19">
        <v>1.37</v>
      </c>
      <c r="AA93" s="19">
        <f t="shared" si="215"/>
        <v>1</v>
      </c>
      <c r="AB93" s="17">
        <f t="shared" si="205"/>
        <v>0</v>
      </c>
      <c r="AC93" s="17">
        <f t="shared" si="216"/>
        <v>0</v>
      </c>
      <c r="AD93" s="17">
        <f t="shared" si="217"/>
        <v>0</v>
      </c>
      <c r="AE93" s="17">
        <f t="shared" si="218"/>
        <v>0</v>
      </c>
      <c r="AF93" s="17">
        <f t="shared" si="219"/>
        <v>0</v>
      </c>
      <c r="AG93" s="20" t="str">
        <f t="shared" si="220"/>
        <v/>
      </c>
      <c r="AH93" s="17">
        <f t="shared" si="221"/>
        <v>0</v>
      </c>
      <c r="AI93" s="17"/>
      <c r="AJ93" s="17"/>
      <c r="AK93" s="17"/>
    </row>
    <row r="94" spans="2:37" s="8" customFormat="1" x14ac:dyDescent="0.45">
      <c r="B94" s="8" t="s">
        <v>38</v>
      </c>
      <c r="C94" s="8" t="s">
        <v>99</v>
      </c>
      <c r="D94" s="8" t="str">
        <f t="shared" si="201"/>
        <v>CRWD</v>
      </c>
      <c r="E94" s="8" t="s">
        <v>7</v>
      </c>
      <c r="F94" s="8" t="s">
        <v>40</v>
      </c>
      <c r="G94" s="8" t="s">
        <v>0</v>
      </c>
      <c r="H94" s="8" t="s">
        <v>1</v>
      </c>
      <c r="I94" s="8" t="s">
        <v>41</v>
      </c>
      <c r="K94" s="16">
        <v>46161</v>
      </c>
      <c r="L94" s="17"/>
      <c r="M94" s="17"/>
      <c r="N94" s="17"/>
      <c r="O94" s="17">
        <f>L94+M94</f>
        <v>0</v>
      </c>
      <c r="P94" s="17">
        <f t="shared" si="212"/>
        <v>0</v>
      </c>
      <c r="Q94" s="17"/>
      <c r="R94" s="17">
        <v>2990</v>
      </c>
      <c r="S94" s="18">
        <v>373.78</v>
      </c>
      <c r="U94" s="17">
        <v>8</v>
      </c>
      <c r="V94" s="17">
        <v>4847</v>
      </c>
      <c r="W94" s="17">
        <v>97</v>
      </c>
      <c r="X94" s="17">
        <f t="shared" si="213"/>
        <v>1857</v>
      </c>
      <c r="Y94" s="17">
        <f t="shared" si="214"/>
        <v>2544.09</v>
      </c>
      <c r="Z94" s="19">
        <v>1.37</v>
      </c>
      <c r="AA94" s="19">
        <f t="shared" si="215"/>
        <v>1.37</v>
      </c>
      <c r="AB94" s="17">
        <f t="shared" si="205"/>
        <v>0</v>
      </c>
      <c r="AC94" s="17">
        <f t="shared" si="216"/>
        <v>0</v>
      </c>
      <c r="AD94" s="17">
        <f t="shared" si="217"/>
        <v>0</v>
      </c>
      <c r="AE94" s="17">
        <f t="shared" si="218"/>
        <v>0</v>
      </c>
      <c r="AF94" s="17">
        <f t="shared" si="219"/>
        <v>0</v>
      </c>
      <c r="AG94" s="20" t="str">
        <f t="shared" si="220"/>
        <v/>
      </c>
      <c r="AH94" s="17">
        <f t="shared" si="221"/>
        <v>0</v>
      </c>
      <c r="AI94" s="17"/>
      <c r="AJ94" s="17"/>
      <c r="AK94" s="17"/>
    </row>
    <row r="95" spans="2:37" s="8" customFormat="1" x14ac:dyDescent="0.45">
      <c r="B95" s="8" t="s">
        <v>38</v>
      </c>
      <c r="C95" s="8" t="s">
        <v>96</v>
      </c>
      <c r="D95" s="8" t="str">
        <f t="shared" si="201"/>
        <v>JEPI</v>
      </c>
      <c r="E95" s="8" t="s">
        <v>7</v>
      </c>
      <c r="F95" s="8" t="s">
        <v>40</v>
      </c>
      <c r="G95" s="8" t="s">
        <v>5</v>
      </c>
      <c r="H95" s="8" t="s">
        <v>1</v>
      </c>
      <c r="I95" s="8" t="s">
        <v>41</v>
      </c>
      <c r="J95" s="16">
        <v>45859</v>
      </c>
      <c r="K95" s="16">
        <v>46150</v>
      </c>
      <c r="L95" s="17"/>
      <c r="M95" s="17"/>
      <c r="N95" s="17"/>
      <c r="O95" s="17"/>
      <c r="P95" s="17">
        <f t="shared" si="212"/>
        <v>0</v>
      </c>
      <c r="Q95" s="17"/>
      <c r="R95" s="17">
        <v>9468</v>
      </c>
      <c r="S95" s="18">
        <v>55.698799999999999</v>
      </c>
      <c r="U95" s="17">
        <v>170</v>
      </c>
      <c r="V95" s="17">
        <v>9545.84</v>
      </c>
      <c r="W95" s="8">
        <v>56.152000000000001</v>
      </c>
      <c r="X95" s="17">
        <f t="shared" si="213"/>
        <v>77.840000000000146</v>
      </c>
      <c r="Y95" s="17">
        <f t="shared" si="214"/>
        <v>106.64080000000021</v>
      </c>
      <c r="Z95" s="19">
        <v>1.37</v>
      </c>
      <c r="AA95" s="19">
        <f t="shared" si="215"/>
        <v>1.37</v>
      </c>
      <c r="AB95" s="17">
        <f t="shared" si="205"/>
        <v>0</v>
      </c>
      <c r="AC95" s="17">
        <f t="shared" si="216"/>
        <v>0</v>
      </c>
      <c r="AD95" s="17">
        <f t="shared" si="217"/>
        <v>0</v>
      </c>
      <c r="AE95" s="17">
        <f t="shared" si="218"/>
        <v>0</v>
      </c>
      <c r="AF95" s="17">
        <f t="shared" si="219"/>
        <v>0</v>
      </c>
      <c r="AG95" s="20" t="str">
        <f t="shared" si="220"/>
        <v/>
      </c>
      <c r="AH95" s="17">
        <f t="shared" si="221"/>
        <v>0</v>
      </c>
      <c r="AI95" s="17"/>
      <c r="AJ95" s="17"/>
      <c r="AK95" s="17"/>
    </row>
    <row r="96" spans="2:37" s="8" customFormat="1" x14ac:dyDescent="0.45">
      <c r="B96" s="8" t="s">
        <v>38</v>
      </c>
      <c r="C96" s="8" t="s">
        <v>116</v>
      </c>
      <c r="D96" s="8" t="s">
        <v>94</v>
      </c>
      <c r="E96" s="8" t="s">
        <v>6</v>
      </c>
      <c r="F96" s="8" t="s">
        <v>50</v>
      </c>
      <c r="G96" s="8" t="s">
        <v>5</v>
      </c>
      <c r="H96" s="8" t="s">
        <v>1</v>
      </c>
      <c r="I96" s="8" t="s">
        <v>41</v>
      </c>
      <c r="K96" s="16">
        <v>46044</v>
      </c>
      <c r="L96" s="17"/>
      <c r="M96" s="17"/>
      <c r="N96" s="17"/>
      <c r="O96" s="17">
        <f>L96+M96</f>
        <v>0</v>
      </c>
      <c r="P96" s="17">
        <f t="shared" si="212"/>
        <v>0</v>
      </c>
      <c r="Q96" s="17"/>
      <c r="R96" s="17">
        <v>2278.1999999999998</v>
      </c>
      <c r="S96" s="18">
        <v>227.82</v>
      </c>
      <c r="T96" s="17"/>
      <c r="U96" s="17">
        <v>10</v>
      </c>
      <c r="V96" s="17">
        <v>4507</v>
      </c>
      <c r="W96" s="8">
        <v>450.7</v>
      </c>
      <c r="X96" s="17">
        <f t="shared" si="213"/>
        <v>2228.8000000000002</v>
      </c>
      <c r="Y96" s="17">
        <f t="shared" si="214"/>
        <v>3053.4560000000006</v>
      </c>
      <c r="Z96" s="19">
        <v>1.37</v>
      </c>
      <c r="AA96" s="19">
        <f t="shared" si="215"/>
        <v>1.37</v>
      </c>
      <c r="AB96" s="17">
        <f t="shared" si="205"/>
        <v>0</v>
      </c>
      <c r="AC96" s="17">
        <f t="shared" si="216"/>
        <v>0</v>
      </c>
      <c r="AD96" s="17">
        <f t="shared" si="217"/>
        <v>0</v>
      </c>
      <c r="AE96" s="17">
        <f t="shared" si="218"/>
        <v>0</v>
      </c>
      <c r="AF96" s="17">
        <f t="shared" si="219"/>
        <v>0</v>
      </c>
      <c r="AG96" s="20" t="str">
        <f t="shared" si="220"/>
        <v/>
      </c>
      <c r="AH96" s="17">
        <f t="shared" si="221"/>
        <v>0</v>
      </c>
      <c r="AI96" s="17"/>
      <c r="AJ96" s="17"/>
      <c r="AK96" s="17"/>
    </row>
    <row r="97" spans="2:37" s="8" customFormat="1" x14ac:dyDescent="0.45">
      <c r="B97" s="8" t="s">
        <v>38</v>
      </c>
      <c r="C97" s="8" t="s">
        <v>49</v>
      </c>
      <c r="E97" s="8" t="s">
        <v>6</v>
      </c>
      <c r="F97" s="8" t="s">
        <v>50</v>
      </c>
      <c r="G97" s="8" t="s">
        <v>5</v>
      </c>
      <c r="H97" s="8" t="s">
        <v>1</v>
      </c>
      <c r="I97" s="8" t="s">
        <v>41</v>
      </c>
      <c r="J97" s="16">
        <v>45701</v>
      </c>
      <c r="K97" s="16">
        <v>46044</v>
      </c>
      <c r="L97" s="17"/>
      <c r="M97" s="17"/>
      <c r="N97" s="17"/>
      <c r="O97" s="17">
        <f>L97+M97</f>
        <v>0</v>
      </c>
      <c r="P97" s="17">
        <f t="shared" si="212"/>
        <v>0</v>
      </c>
      <c r="Q97" s="17"/>
      <c r="R97" s="17">
        <v>5950</v>
      </c>
      <c r="S97" s="18">
        <v>350</v>
      </c>
      <c r="T97" s="17"/>
      <c r="U97" s="17">
        <v>17</v>
      </c>
      <c r="V97" s="17">
        <v>7480</v>
      </c>
      <c r="W97" s="17">
        <v>440</v>
      </c>
      <c r="X97" s="17">
        <f t="shared" si="213"/>
        <v>1530</v>
      </c>
      <c r="Y97" s="17">
        <f t="shared" si="214"/>
        <v>2096.1000000000004</v>
      </c>
      <c r="Z97" s="19">
        <v>1.37</v>
      </c>
      <c r="AA97" s="19">
        <f t="shared" si="215"/>
        <v>1.37</v>
      </c>
      <c r="AB97" s="17">
        <f t="shared" si="205"/>
        <v>0</v>
      </c>
      <c r="AC97" s="17">
        <f t="shared" si="216"/>
        <v>0</v>
      </c>
      <c r="AD97" s="17">
        <f t="shared" si="217"/>
        <v>0</v>
      </c>
      <c r="AE97" s="17">
        <f t="shared" si="218"/>
        <v>0</v>
      </c>
      <c r="AF97" s="17">
        <f t="shared" si="219"/>
        <v>0</v>
      </c>
      <c r="AG97" s="20" t="str">
        <f t="shared" si="220"/>
        <v/>
      </c>
      <c r="AH97" s="17">
        <f t="shared" si="221"/>
        <v>0</v>
      </c>
      <c r="AI97" s="17"/>
      <c r="AJ97" s="17"/>
      <c r="AK97" s="17"/>
    </row>
    <row r="98" spans="2:37" s="8" customFormat="1" x14ac:dyDescent="0.45">
      <c r="B98" s="8" t="s">
        <v>38</v>
      </c>
      <c r="C98" s="8" t="s">
        <v>95</v>
      </c>
      <c r="E98" s="8" t="s">
        <v>6</v>
      </c>
      <c r="F98" s="8" t="s">
        <v>50</v>
      </c>
      <c r="G98" s="8" t="s">
        <v>5</v>
      </c>
      <c r="H98" s="8" t="s">
        <v>1</v>
      </c>
      <c r="I98" s="8" t="s">
        <v>41</v>
      </c>
      <c r="J98" s="16">
        <v>45701</v>
      </c>
      <c r="K98" s="16">
        <v>46044</v>
      </c>
      <c r="L98" s="17"/>
      <c r="M98" s="17"/>
      <c r="N98" s="17"/>
      <c r="O98" s="17">
        <f t="shared" ref="O98" si="222">L98+M98</f>
        <v>0</v>
      </c>
      <c r="P98" s="17">
        <f t="shared" si="212"/>
        <v>0</v>
      </c>
      <c r="Q98" s="17"/>
      <c r="R98" s="17">
        <v>5590</v>
      </c>
      <c r="S98" s="18">
        <v>54.36</v>
      </c>
      <c r="T98" s="17"/>
      <c r="U98" s="17">
        <v>100</v>
      </c>
      <c r="V98" s="17">
        <v>6084</v>
      </c>
      <c r="W98" s="17">
        <v>60.84</v>
      </c>
      <c r="X98" s="17">
        <f t="shared" si="213"/>
        <v>494</v>
      </c>
      <c r="Y98" s="17">
        <f t="shared" si="214"/>
        <v>676.78000000000009</v>
      </c>
      <c r="Z98" s="19">
        <v>1.37</v>
      </c>
      <c r="AA98" s="19">
        <f t="shared" si="215"/>
        <v>1.37</v>
      </c>
      <c r="AB98" s="17">
        <f t="shared" si="205"/>
        <v>0</v>
      </c>
      <c r="AC98" s="17">
        <f t="shared" si="216"/>
        <v>0</v>
      </c>
      <c r="AD98" s="17">
        <f t="shared" si="217"/>
        <v>0</v>
      </c>
      <c r="AE98" s="17">
        <f t="shared" si="218"/>
        <v>0</v>
      </c>
      <c r="AF98" s="17">
        <f t="shared" si="219"/>
        <v>0</v>
      </c>
      <c r="AG98" s="20" t="str">
        <f t="shared" si="220"/>
        <v/>
      </c>
      <c r="AH98" s="17">
        <f t="shared" si="221"/>
        <v>0</v>
      </c>
      <c r="AI98" s="17"/>
      <c r="AJ98" s="17"/>
      <c r="AK98" s="17"/>
    </row>
    <row r="99" spans="2:37" s="8" customFormat="1" x14ac:dyDescent="0.45">
      <c r="B99" s="8" t="s">
        <v>38</v>
      </c>
      <c r="C99" s="8" t="s">
        <v>100</v>
      </c>
      <c r="E99" s="8" t="s">
        <v>7</v>
      </c>
      <c r="F99" s="8" t="s">
        <v>40</v>
      </c>
      <c r="G99" s="8" t="s">
        <v>8</v>
      </c>
      <c r="H99" s="8" t="s">
        <v>1</v>
      </c>
      <c r="I99" s="8" t="s">
        <v>41</v>
      </c>
      <c r="J99" s="16">
        <v>45680</v>
      </c>
      <c r="K99" s="16">
        <v>46045</v>
      </c>
      <c r="L99" s="17"/>
      <c r="M99" s="17"/>
      <c r="N99" s="17"/>
      <c r="O99" s="17">
        <f>L99+M99</f>
        <v>0</v>
      </c>
      <c r="P99" s="17">
        <f t="shared" ref="P99:P104" si="223">IF(H99="USD",O99*Z99,O99)</f>
        <v>0</v>
      </c>
      <c r="Q99" s="17"/>
      <c r="R99" s="17">
        <v>2664.2</v>
      </c>
      <c r="S99" s="18">
        <v>19.03</v>
      </c>
      <c r="U99" s="17">
        <v>140</v>
      </c>
      <c r="V99" s="17">
        <v>1442</v>
      </c>
      <c r="W99" s="17">
        <v>10.3</v>
      </c>
      <c r="X99" s="17">
        <f t="shared" si="213"/>
        <v>-1222.1999999999998</v>
      </c>
      <c r="Y99" s="17">
        <f t="shared" si="214"/>
        <v>-1674.414</v>
      </c>
      <c r="Z99" s="19">
        <v>1.37</v>
      </c>
      <c r="AA99" s="19">
        <f t="shared" ref="AA99:AA104" si="224">IF(H99="USD",Z99,1)</f>
        <v>1.37</v>
      </c>
      <c r="AB99" s="17">
        <f t="shared" si="205"/>
        <v>0</v>
      </c>
      <c r="AC99" s="17">
        <f t="shared" ref="AC99:AC104" si="225">IF(Q99="",0,Q99*AA99)</f>
        <v>0</v>
      </c>
      <c r="AD99" s="17">
        <f t="shared" ref="AD99:AD104" si="226">IF(Q99="",0,N99*AA99)</f>
        <v>0</v>
      </c>
      <c r="AE99" s="17">
        <f t="shared" ref="AE99:AE104" si="227">IF(N99="",0,N99-Q99)</f>
        <v>0</v>
      </c>
      <c r="AF99" s="17">
        <f t="shared" ref="AF99:AF104" si="228">IF(N99="",0,AE99*AA99)</f>
        <v>0</v>
      </c>
      <c r="AG99" s="20" t="str">
        <f t="shared" ref="AG99:AG104" si="229">IF(OR(N99=0,Q99=0),"",N99/Q99-1)</f>
        <v/>
      </c>
      <c r="AH99" s="17">
        <f t="shared" ref="AH99:AH104" si="230">AD99+P99</f>
        <v>0</v>
      </c>
      <c r="AI99" s="17"/>
      <c r="AJ99" s="17"/>
      <c r="AK99" s="17"/>
    </row>
    <row r="100" spans="2:37" s="8" customFormat="1" x14ac:dyDescent="0.45">
      <c r="B100" s="8" t="s">
        <v>38</v>
      </c>
      <c r="C100" s="8" t="s">
        <v>100</v>
      </c>
      <c r="E100" s="8" t="s">
        <v>6</v>
      </c>
      <c r="F100" s="8" t="s">
        <v>40</v>
      </c>
      <c r="G100" s="8" t="s">
        <v>0</v>
      </c>
      <c r="H100" s="8" t="s">
        <v>1</v>
      </c>
      <c r="I100" s="8" t="s">
        <v>41</v>
      </c>
      <c r="J100" s="16">
        <v>45652</v>
      </c>
      <c r="K100" s="16">
        <v>45662</v>
      </c>
      <c r="L100" s="17"/>
      <c r="M100" s="17"/>
      <c r="N100" s="17"/>
      <c r="O100" s="17"/>
      <c r="P100" s="17">
        <f t="shared" si="223"/>
        <v>0</v>
      </c>
      <c r="Q100" s="17"/>
      <c r="R100" s="17">
        <v>3945</v>
      </c>
      <c r="S100" s="18">
        <v>21.844999999999999</v>
      </c>
      <c r="T100" s="17"/>
      <c r="U100" s="17">
        <v>200</v>
      </c>
      <c r="V100" s="17">
        <v>2416</v>
      </c>
      <c r="W100" s="17"/>
      <c r="X100" s="17">
        <f t="shared" si="213"/>
        <v>-1529</v>
      </c>
      <c r="Y100" s="17">
        <f t="shared" si="214"/>
        <v>-2094.73</v>
      </c>
      <c r="Z100" s="19">
        <v>1.37</v>
      </c>
      <c r="AA100" s="19">
        <f t="shared" si="224"/>
        <v>1.37</v>
      </c>
      <c r="AB100" s="19"/>
      <c r="AC100" s="17">
        <f t="shared" si="225"/>
        <v>0</v>
      </c>
      <c r="AD100" s="17">
        <f t="shared" si="226"/>
        <v>0</v>
      </c>
      <c r="AE100" s="17">
        <f t="shared" si="227"/>
        <v>0</v>
      </c>
      <c r="AF100" s="17">
        <f t="shared" si="228"/>
        <v>0</v>
      </c>
      <c r="AG100" s="20" t="str">
        <f t="shared" si="229"/>
        <v/>
      </c>
      <c r="AH100" s="17">
        <f t="shared" si="230"/>
        <v>0</v>
      </c>
      <c r="AI100" s="17"/>
      <c r="AJ100" s="17"/>
      <c r="AK100" s="17"/>
    </row>
    <row r="101" spans="2:37" s="8" customFormat="1" x14ac:dyDescent="0.45">
      <c r="B101" s="8" t="s">
        <v>38</v>
      </c>
      <c r="C101" s="8" t="s">
        <v>103</v>
      </c>
      <c r="E101" s="8" t="s">
        <v>6</v>
      </c>
      <c r="F101" s="8" t="s">
        <v>50</v>
      </c>
      <c r="G101" s="8" t="s">
        <v>5</v>
      </c>
      <c r="H101" s="8" t="s">
        <v>45</v>
      </c>
      <c r="I101" s="8" t="s">
        <v>41</v>
      </c>
      <c r="K101" s="16">
        <v>46014</v>
      </c>
      <c r="L101" s="17"/>
      <c r="M101" s="17"/>
      <c r="N101" s="17"/>
      <c r="O101" s="17">
        <f>L101+M101</f>
        <v>0</v>
      </c>
      <c r="P101" s="17">
        <f t="shared" si="223"/>
        <v>0</v>
      </c>
      <c r="Q101" s="17"/>
      <c r="R101" s="17">
        <v>1100</v>
      </c>
      <c r="S101" s="18">
        <v>22</v>
      </c>
      <c r="T101" s="17"/>
      <c r="U101" s="17">
        <v>50</v>
      </c>
      <c r="V101" s="17">
        <v>1000</v>
      </c>
      <c r="W101" s="17">
        <v>20</v>
      </c>
      <c r="X101" s="17">
        <f t="shared" si="213"/>
        <v>-100</v>
      </c>
      <c r="Y101" s="17">
        <f t="shared" si="214"/>
        <v>-100</v>
      </c>
      <c r="Z101" s="19">
        <v>1.37</v>
      </c>
      <c r="AA101" s="19">
        <f t="shared" si="224"/>
        <v>1</v>
      </c>
      <c r="AB101" s="19"/>
      <c r="AC101" s="17">
        <f t="shared" si="225"/>
        <v>0</v>
      </c>
      <c r="AD101" s="17">
        <f t="shared" si="226"/>
        <v>0</v>
      </c>
      <c r="AE101" s="17">
        <f t="shared" si="227"/>
        <v>0</v>
      </c>
      <c r="AF101" s="17">
        <f t="shared" si="228"/>
        <v>0</v>
      </c>
      <c r="AG101" s="20" t="str">
        <f t="shared" si="229"/>
        <v/>
      </c>
      <c r="AH101" s="17">
        <f t="shared" si="230"/>
        <v>0</v>
      </c>
      <c r="AI101" s="17"/>
      <c r="AJ101" s="17"/>
      <c r="AK101" s="17"/>
    </row>
    <row r="102" spans="2:37" s="8" customFormat="1" x14ac:dyDescent="0.45">
      <c r="B102" s="8" t="s">
        <v>38</v>
      </c>
      <c r="C102" s="8" t="s">
        <v>87</v>
      </c>
      <c r="E102" s="8" t="s">
        <v>6</v>
      </c>
      <c r="F102" s="8" t="s">
        <v>50</v>
      </c>
      <c r="G102" s="8" t="s">
        <v>8</v>
      </c>
      <c r="H102" s="8" t="s">
        <v>45</v>
      </c>
      <c r="I102" s="8" t="s">
        <v>41</v>
      </c>
      <c r="K102" s="16">
        <v>46013</v>
      </c>
      <c r="L102" s="17"/>
      <c r="M102" s="17"/>
      <c r="N102" s="17"/>
      <c r="O102" s="17">
        <f>L102+M102</f>
        <v>0</v>
      </c>
      <c r="P102" s="17">
        <f t="shared" si="223"/>
        <v>0</v>
      </c>
      <c r="Q102" s="17"/>
      <c r="R102" s="17">
        <v>1506.75</v>
      </c>
      <c r="S102" s="18">
        <v>30.75</v>
      </c>
      <c r="T102" s="17"/>
      <c r="U102" s="17">
        <v>49</v>
      </c>
      <c r="V102" s="17">
        <v>1935.5</v>
      </c>
      <c r="W102" s="17">
        <v>39.5</v>
      </c>
      <c r="X102" s="17">
        <f t="shared" si="213"/>
        <v>428.75</v>
      </c>
      <c r="Y102" s="17">
        <f t="shared" si="214"/>
        <v>428.75</v>
      </c>
      <c r="Z102" s="19">
        <v>1.37</v>
      </c>
      <c r="AA102" s="19">
        <f t="shared" si="224"/>
        <v>1</v>
      </c>
      <c r="AB102" s="19"/>
      <c r="AC102" s="17">
        <f t="shared" si="225"/>
        <v>0</v>
      </c>
      <c r="AD102" s="17">
        <f t="shared" si="226"/>
        <v>0</v>
      </c>
      <c r="AE102" s="17">
        <f t="shared" si="227"/>
        <v>0</v>
      </c>
      <c r="AF102" s="17">
        <f t="shared" si="228"/>
        <v>0</v>
      </c>
      <c r="AG102" s="20" t="str">
        <f t="shared" si="229"/>
        <v/>
      </c>
      <c r="AH102" s="17">
        <f t="shared" si="230"/>
        <v>0</v>
      </c>
      <c r="AI102" s="17"/>
      <c r="AJ102" s="17"/>
      <c r="AK102" s="17"/>
    </row>
    <row r="103" spans="2:37" s="8" customFormat="1" x14ac:dyDescent="0.45">
      <c r="B103" s="8" t="s">
        <v>38</v>
      </c>
      <c r="C103" s="8" t="s">
        <v>52</v>
      </c>
      <c r="E103" s="8" t="s">
        <v>6</v>
      </c>
      <c r="F103" s="8" t="s">
        <v>50</v>
      </c>
      <c r="G103" s="8" t="s">
        <v>8</v>
      </c>
      <c r="H103" s="8" t="s">
        <v>45</v>
      </c>
      <c r="I103" s="8" t="s">
        <v>41</v>
      </c>
      <c r="K103" s="16">
        <v>46013</v>
      </c>
      <c r="L103" s="17"/>
      <c r="M103" s="17"/>
      <c r="N103" s="17"/>
      <c r="O103" s="17">
        <f>L103+M103</f>
        <v>0</v>
      </c>
      <c r="P103" s="17">
        <f t="shared" si="223"/>
        <v>0</v>
      </c>
      <c r="Q103" s="17"/>
      <c r="R103" s="17">
        <v>4225</v>
      </c>
      <c r="S103" s="18">
        <v>24.57</v>
      </c>
      <c r="T103" s="17"/>
      <c r="U103" s="17">
        <v>172</v>
      </c>
      <c r="V103" s="17">
        <v>7163.8</v>
      </c>
      <c r="W103" s="17">
        <v>41.65</v>
      </c>
      <c r="X103" s="17">
        <f t="shared" si="213"/>
        <v>2938.8</v>
      </c>
      <c r="Y103" s="17">
        <f t="shared" si="214"/>
        <v>2938.8</v>
      </c>
      <c r="Z103" s="19">
        <v>1.37</v>
      </c>
      <c r="AA103" s="19">
        <f t="shared" si="224"/>
        <v>1</v>
      </c>
      <c r="AB103" s="19"/>
      <c r="AC103" s="17">
        <f t="shared" si="225"/>
        <v>0</v>
      </c>
      <c r="AD103" s="17">
        <f t="shared" si="226"/>
        <v>0</v>
      </c>
      <c r="AE103" s="17">
        <f t="shared" si="227"/>
        <v>0</v>
      </c>
      <c r="AF103" s="17">
        <f t="shared" si="228"/>
        <v>0</v>
      </c>
      <c r="AG103" s="20" t="str">
        <f t="shared" si="229"/>
        <v/>
      </c>
      <c r="AH103" s="17">
        <f t="shared" si="230"/>
        <v>0</v>
      </c>
      <c r="AI103" s="17"/>
      <c r="AJ103" s="17"/>
      <c r="AK103" s="17"/>
    </row>
    <row r="104" spans="2:37" s="8" customFormat="1" x14ac:dyDescent="0.45">
      <c r="B104" s="8" t="s">
        <v>38</v>
      </c>
      <c r="C104" s="8" t="s">
        <v>86</v>
      </c>
      <c r="E104" s="8" t="s">
        <v>6</v>
      </c>
      <c r="F104" s="8" t="s">
        <v>50</v>
      </c>
      <c r="G104" s="8" t="s">
        <v>8</v>
      </c>
      <c r="H104" s="8" t="s">
        <v>45</v>
      </c>
      <c r="I104" s="8" t="s">
        <v>74</v>
      </c>
      <c r="K104" s="16">
        <v>46013</v>
      </c>
      <c r="L104" s="17"/>
      <c r="M104" s="17"/>
      <c r="N104" s="17"/>
      <c r="O104" s="17">
        <f>L104+M104</f>
        <v>0</v>
      </c>
      <c r="P104" s="17">
        <f t="shared" si="223"/>
        <v>0</v>
      </c>
      <c r="Q104" s="17"/>
      <c r="R104" s="17">
        <v>1688.76</v>
      </c>
      <c r="S104" s="18">
        <v>54.48</v>
      </c>
      <c r="T104" s="17"/>
      <c r="U104" s="17">
        <v>31</v>
      </c>
      <c r="V104" s="8">
        <v>2183.9499999999998</v>
      </c>
      <c r="W104" s="17">
        <v>70.45</v>
      </c>
      <c r="X104" s="17">
        <f t="shared" si="213"/>
        <v>495.18999999999983</v>
      </c>
      <c r="Y104" s="17">
        <f t="shared" si="214"/>
        <v>495.18999999999983</v>
      </c>
      <c r="Z104" s="19">
        <v>1.37</v>
      </c>
      <c r="AA104" s="19">
        <f t="shared" si="224"/>
        <v>1</v>
      </c>
      <c r="AB104" s="19"/>
      <c r="AC104" s="17">
        <f t="shared" si="225"/>
        <v>0</v>
      </c>
      <c r="AD104" s="17">
        <f t="shared" si="226"/>
        <v>0</v>
      </c>
      <c r="AE104" s="17">
        <f t="shared" si="227"/>
        <v>0</v>
      </c>
      <c r="AF104" s="17">
        <f t="shared" si="228"/>
        <v>0</v>
      </c>
      <c r="AG104" s="20" t="str">
        <f t="shared" si="229"/>
        <v/>
      </c>
      <c r="AH104" s="17">
        <f t="shared" si="230"/>
        <v>0</v>
      </c>
      <c r="AI104" s="17"/>
      <c r="AJ104" s="17"/>
      <c r="AK104" s="17"/>
    </row>
    <row r="105" spans="2:37" s="8" customFormat="1" x14ac:dyDescent="0.45">
      <c r="B105" s="8" t="s">
        <v>38</v>
      </c>
      <c r="C105" s="8" t="s">
        <v>76</v>
      </c>
      <c r="E105" s="8" t="s">
        <v>7</v>
      </c>
      <c r="F105" s="8" t="s">
        <v>40</v>
      </c>
      <c r="G105" s="8" t="s">
        <v>8</v>
      </c>
      <c r="H105" s="8" t="s">
        <v>1</v>
      </c>
      <c r="I105" s="8" t="s">
        <v>41</v>
      </c>
      <c r="J105" s="16">
        <v>45968</v>
      </c>
      <c r="K105" s="16">
        <v>46013</v>
      </c>
      <c r="L105" s="17"/>
      <c r="M105" s="17"/>
      <c r="N105" s="17"/>
      <c r="O105" s="17">
        <f t="shared" ref="O105" si="231">L105+M105</f>
        <v>0</v>
      </c>
      <c r="P105" s="17">
        <f t="shared" ref="P105" si="232">IF(H105="USD",O105*Z105,O105)</f>
        <v>0</v>
      </c>
      <c r="Q105" s="17"/>
      <c r="R105" s="18">
        <v>1260</v>
      </c>
      <c r="S105" s="18">
        <v>-0.252</v>
      </c>
      <c r="U105" s="17">
        <v>5000</v>
      </c>
      <c r="V105" s="17">
        <v>1050</v>
      </c>
      <c r="X105" s="17">
        <f t="shared" si="213"/>
        <v>-210</v>
      </c>
      <c r="Y105" s="17">
        <f t="shared" si="214"/>
        <v>-287.70000000000005</v>
      </c>
      <c r="Z105" s="19">
        <v>1.37</v>
      </c>
      <c r="AA105" s="19">
        <f t="shared" ref="AA105" si="233">IF(H105="USD",Z105,1)</f>
        <v>1.37</v>
      </c>
      <c r="AB105" s="19"/>
      <c r="AC105" s="17">
        <f t="shared" ref="AC105" si="234">IF(Q105="",0,Q105*AA105)</f>
        <v>0</v>
      </c>
      <c r="AD105" s="17">
        <f t="shared" ref="AD105" si="235">IF(Q105="",0,N105*AA105)</f>
        <v>0</v>
      </c>
      <c r="AE105" s="17">
        <f t="shared" ref="AE105" si="236">IF(N105="",0,N105-Q105)</f>
        <v>0</v>
      </c>
      <c r="AF105" s="17">
        <f t="shared" ref="AF105" si="237">IF(N105="",0,AE105*AA105)</f>
        <v>0</v>
      </c>
      <c r="AG105" s="20" t="str">
        <f t="shared" ref="AG105" si="238">IF(OR(N105=0,Q105=0),"",N105/Q105-1)</f>
        <v/>
      </c>
      <c r="AH105" s="17">
        <f t="shared" ref="AH105" si="239">AD105+P105</f>
        <v>0</v>
      </c>
      <c r="AI105" s="17"/>
      <c r="AJ105" s="17"/>
      <c r="AK105" s="17"/>
    </row>
    <row r="106" spans="2:37" s="8" customFormat="1" x14ac:dyDescent="0.45">
      <c r="B106" s="8" t="s">
        <v>38</v>
      </c>
      <c r="C106" s="8" t="s">
        <v>69</v>
      </c>
      <c r="E106" s="8" t="s">
        <v>6</v>
      </c>
      <c r="F106" s="8" t="s">
        <v>50</v>
      </c>
      <c r="G106" s="8" t="s">
        <v>5</v>
      </c>
      <c r="H106" s="8" t="s">
        <v>1</v>
      </c>
      <c r="I106" s="8" t="s">
        <v>41</v>
      </c>
      <c r="L106" s="17"/>
      <c r="M106" s="17"/>
      <c r="N106" s="17"/>
      <c r="O106" s="17">
        <f>L106+M106</f>
        <v>0</v>
      </c>
      <c r="P106" s="17">
        <f>IF(H106="USD",O106*Z106,O106)</f>
        <v>0</v>
      </c>
      <c r="Q106" s="17"/>
      <c r="R106" s="17">
        <v>560</v>
      </c>
      <c r="S106" s="18"/>
      <c r="T106" s="17"/>
      <c r="U106" s="17">
        <v>10</v>
      </c>
      <c r="V106" s="18">
        <v>50.35</v>
      </c>
      <c r="W106" s="17">
        <v>5.0350000000000001</v>
      </c>
      <c r="X106" s="17">
        <f t="shared" si="213"/>
        <v>-509.65</v>
      </c>
      <c r="Y106" s="17">
        <f t="shared" si="214"/>
        <v>-698.22050000000002</v>
      </c>
      <c r="Z106" s="19">
        <v>1.37</v>
      </c>
      <c r="AA106" s="19">
        <f>IF(H106="USD",Z106,1)</f>
        <v>1.37</v>
      </c>
      <c r="AB106" s="19"/>
      <c r="AC106" s="17">
        <f>IF(Q106="",0,Q106*AA106)</f>
        <v>0</v>
      </c>
      <c r="AD106" s="17">
        <f>IF(Q106="",0,N106*AA106)</f>
        <v>0</v>
      </c>
      <c r="AE106" s="17">
        <f>IF(N106="",0,N106-Q106)</f>
        <v>0</v>
      </c>
      <c r="AF106" s="17">
        <f>IF(N106="",0,AE106*AA106)</f>
        <v>0</v>
      </c>
      <c r="AG106" s="20" t="str">
        <f>IF(OR(N106=0,Q106=0),"",N106/Q106-1)</f>
        <v/>
      </c>
      <c r="AH106" s="17">
        <f>AD106+P106</f>
        <v>0</v>
      </c>
      <c r="AI106" s="17"/>
      <c r="AJ106" s="17"/>
      <c r="AK106" s="17"/>
    </row>
    <row r="107" spans="2:37" s="8" customFormat="1" x14ac:dyDescent="0.45">
      <c r="B107" s="8" t="s">
        <v>38</v>
      </c>
      <c r="C107" s="8" t="s">
        <v>44</v>
      </c>
      <c r="E107" s="8" t="s">
        <v>6</v>
      </c>
      <c r="F107" s="8" t="s">
        <v>43</v>
      </c>
      <c r="G107" s="8" t="s">
        <v>9</v>
      </c>
      <c r="H107" s="8" t="s">
        <v>45</v>
      </c>
      <c r="I107" s="8" t="s">
        <v>41</v>
      </c>
      <c r="J107" s="16">
        <v>45657</v>
      </c>
      <c r="K107" s="16"/>
      <c r="L107" s="17"/>
      <c r="M107" s="17"/>
      <c r="N107" s="17"/>
      <c r="O107" s="17"/>
      <c r="P107" s="17">
        <f>IF(H107="USD",O107*Z107,O107)</f>
        <v>0</v>
      </c>
      <c r="Q107" s="17"/>
      <c r="R107" s="17">
        <v>8097.16</v>
      </c>
      <c r="S107" s="18">
        <v>700.39</v>
      </c>
      <c r="T107" s="17">
        <v>8</v>
      </c>
      <c r="U107" s="17">
        <v>8</v>
      </c>
      <c r="V107" s="18">
        <v>11876</v>
      </c>
      <c r="W107" s="17">
        <v>1080</v>
      </c>
      <c r="X107" s="17">
        <f t="shared" si="213"/>
        <v>3778.84</v>
      </c>
      <c r="Y107" s="17">
        <f t="shared" si="214"/>
        <v>3778.84</v>
      </c>
      <c r="Z107" s="19">
        <v>1.37</v>
      </c>
      <c r="AA107" s="19">
        <f>IF(H107="USD",Z107,1)</f>
        <v>1</v>
      </c>
      <c r="AB107" s="19"/>
      <c r="AC107" s="17">
        <f>IF(Q107="",0,Q107*AA107)</f>
        <v>0</v>
      </c>
      <c r="AD107" s="17">
        <f>IF(Q107="",0,N107*AA107)</f>
        <v>0</v>
      </c>
      <c r="AE107" s="17">
        <f>IF(N107="",0,N107-Q107)</f>
        <v>0</v>
      </c>
      <c r="AF107" s="17">
        <f>IF(N107="",0,AE107*AA107)</f>
        <v>0</v>
      </c>
      <c r="AG107" s="20" t="str">
        <f>IF(OR(N107=0,Q107=0),"",N107/Q107-1)</f>
        <v/>
      </c>
      <c r="AH107" s="17">
        <f>AD107+P107</f>
        <v>0</v>
      </c>
      <c r="AI107" s="17"/>
      <c r="AJ107" s="17"/>
      <c r="AK107" s="17"/>
    </row>
    <row r="108" spans="2:37" s="8" customFormat="1" x14ac:dyDescent="0.45">
      <c r="B108" s="8" t="s">
        <v>38</v>
      </c>
      <c r="C108" s="8" t="s">
        <v>62</v>
      </c>
      <c r="E108" s="8" t="s">
        <v>7</v>
      </c>
      <c r="F108" s="8" t="s">
        <v>40</v>
      </c>
      <c r="G108" s="8" t="s">
        <v>8</v>
      </c>
      <c r="H108" s="8" t="s">
        <v>1</v>
      </c>
      <c r="I108" s="8" t="s">
        <v>41</v>
      </c>
      <c r="L108" s="17"/>
      <c r="M108" s="17"/>
      <c r="N108" s="17">
        <v>0</v>
      </c>
      <c r="O108" s="17">
        <f>L108+M108</f>
        <v>0</v>
      </c>
      <c r="P108" s="17">
        <f>IF(H108="USD",O108*Z108,O108)</f>
        <v>0</v>
      </c>
      <c r="Q108" s="17"/>
      <c r="R108" s="17">
        <v>1211.8699999999999</v>
      </c>
      <c r="S108" s="18"/>
      <c r="U108" s="17">
        <v>46</v>
      </c>
      <c r="V108" s="18">
        <v>1196</v>
      </c>
      <c r="W108" s="8">
        <v>26</v>
      </c>
      <c r="X108" s="17">
        <f t="shared" si="213"/>
        <v>-15.869999999999891</v>
      </c>
      <c r="Y108" s="17">
        <f t="shared" si="214"/>
        <v>-21.741899999999852</v>
      </c>
      <c r="Z108" s="19">
        <v>1.37</v>
      </c>
      <c r="AA108" s="19">
        <f>IF(H108="USD",Z108,1)</f>
        <v>1.37</v>
      </c>
      <c r="AB108" s="19"/>
      <c r="AC108" s="17">
        <f>IF(Q108="",0,Q108*AA108)</f>
        <v>0</v>
      </c>
      <c r="AD108" s="17">
        <f>IF(Q108="",0,N108*AA108)</f>
        <v>0</v>
      </c>
      <c r="AE108" s="17">
        <f>IF(N108="",0,N108-Q108)</f>
        <v>0</v>
      </c>
      <c r="AF108" s="17">
        <f>IF(N108="",0,AE108*AA108)</f>
        <v>0</v>
      </c>
      <c r="AG108" s="20" t="str">
        <f>IF(OR(N108=0,Q108=0),"",N108/Q108-1)</f>
        <v/>
      </c>
      <c r="AH108" s="17">
        <f>AD108+P108</f>
        <v>0</v>
      </c>
      <c r="AI108" s="17"/>
      <c r="AJ108" s="17"/>
      <c r="AK108" s="17"/>
    </row>
    <row r="109" spans="2:37" s="8" customFormat="1" x14ac:dyDescent="0.45">
      <c r="B109" s="8" t="s">
        <v>38</v>
      </c>
      <c r="C109" s="8" t="s">
        <v>66</v>
      </c>
      <c r="E109" s="8" t="s">
        <v>7</v>
      </c>
      <c r="F109" s="8" t="s">
        <v>43</v>
      </c>
      <c r="G109" s="8" t="s">
        <v>8</v>
      </c>
      <c r="H109" s="8" t="s">
        <v>1</v>
      </c>
      <c r="I109" s="8" t="s">
        <v>41</v>
      </c>
      <c r="L109" s="17">
        <v>0</v>
      </c>
      <c r="M109" s="17"/>
      <c r="N109" s="17"/>
      <c r="O109" s="17">
        <f t="shared" ref="O109" si="240">L109+M109</f>
        <v>0</v>
      </c>
      <c r="P109" s="17">
        <f t="shared" ref="P109" si="241">IF(H109="USD",O109*Z109,O109)</f>
        <v>0</v>
      </c>
      <c r="Q109" s="17"/>
      <c r="R109" s="17">
        <v>742</v>
      </c>
      <c r="S109" s="18">
        <v>1.8</v>
      </c>
      <c r="U109" s="17">
        <v>72</v>
      </c>
      <c r="V109" s="18">
        <v>0</v>
      </c>
      <c r="W109" s="17">
        <v>0</v>
      </c>
      <c r="X109" s="17">
        <f t="shared" si="213"/>
        <v>-742</v>
      </c>
      <c r="Y109" s="17">
        <f t="shared" si="214"/>
        <v>-1016.5400000000001</v>
      </c>
      <c r="Z109" s="19">
        <v>1.37</v>
      </c>
      <c r="AA109" s="19">
        <f t="shared" ref="AA109" si="242">IF(H109="USD",Z109,1)</f>
        <v>1.37</v>
      </c>
      <c r="AB109" s="19"/>
      <c r="AC109" s="17">
        <f t="shared" ref="AC109" si="243">IF(Q109="",0,Q109*AA109)</f>
        <v>0</v>
      </c>
      <c r="AD109" s="17">
        <f t="shared" ref="AD109" si="244">IF(Q109="",0,N109*AA109)</f>
        <v>0</v>
      </c>
      <c r="AE109" s="17">
        <f t="shared" ref="AE109" si="245">IF(N109="",0,N109-Q109)</f>
        <v>0</v>
      </c>
      <c r="AF109" s="17">
        <f t="shared" ref="AF109" si="246">IF(N109="",0,AE109*AA109)</f>
        <v>0</v>
      </c>
      <c r="AG109" s="20" t="str">
        <f t="shared" ref="AG109" si="247">IF(OR(N109=0,Q109=0),"",N109/Q109-1)</f>
        <v/>
      </c>
      <c r="AH109" s="17">
        <f t="shared" ref="AH109" si="248">AD109+P109</f>
        <v>0</v>
      </c>
      <c r="AI109" s="17"/>
      <c r="AJ109" s="17"/>
      <c r="AK109" s="17"/>
    </row>
    <row r="110" spans="2:37" s="8" customFormat="1" x14ac:dyDescent="0.45">
      <c r="B110" s="8" t="s">
        <v>38</v>
      </c>
      <c r="C110" s="8" t="s">
        <v>57</v>
      </c>
      <c r="E110" s="8" t="s">
        <v>7</v>
      </c>
      <c r="F110" s="8" t="s">
        <v>43</v>
      </c>
      <c r="G110" s="8" t="s">
        <v>8</v>
      </c>
      <c r="H110" s="8" t="s">
        <v>1</v>
      </c>
      <c r="I110" s="8" t="s">
        <v>53</v>
      </c>
      <c r="J110" s="16">
        <v>45839</v>
      </c>
      <c r="K110" s="16">
        <v>45982</v>
      </c>
      <c r="L110" s="17"/>
      <c r="M110" s="17"/>
      <c r="N110" s="17"/>
      <c r="O110" s="17">
        <f>L110+M110</f>
        <v>0</v>
      </c>
      <c r="P110" s="17">
        <f>IF(H110="USD",O110*Z110,O110)</f>
        <v>0</v>
      </c>
      <c r="Q110" s="17"/>
      <c r="R110" s="17">
        <v>546</v>
      </c>
      <c r="S110" s="18"/>
      <c r="U110" s="17">
        <v>72</v>
      </c>
      <c r="V110" s="18">
        <v>0</v>
      </c>
      <c r="W110" s="17">
        <v>0</v>
      </c>
      <c r="X110" s="17">
        <f t="shared" si="213"/>
        <v>-546</v>
      </c>
      <c r="Y110" s="17">
        <f t="shared" si="214"/>
        <v>-748.0200000000001</v>
      </c>
      <c r="Z110" s="19">
        <v>1.37</v>
      </c>
      <c r="AA110" s="19">
        <f>IF(H110="USD",Z110,1)</f>
        <v>1.37</v>
      </c>
      <c r="AB110" s="19"/>
      <c r="AC110" s="17">
        <f>IF(Q110="",0,Q110*AA110)</f>
        <v>0</v>
      </c>
      <c r="AD110" s="17">
        <f>IF(Q110="",0,N110*AA110)</f>
        <v>0</v>
      </c>
      <c r="AE110" s="17">
        <f>IF(N110="",0,N110-Q110)</f>
        <v>0</v>
      </c>
      <c r="AF110" s="17">
        <f>IF(N110="",0,AE110*AA110)</f>
        <v>0</v>
      </c>
      <c r="AG110" s="20" t="str">
        <f>IF(OR(N110=0,Q110=0),"",N110/Q110-1)</f>
        <v/>
      </c>
      <c r="AH110" s="17">
        <f>AD110+P110</f>
        <v>0</v>
      </c>
      <c r="AI110" s="17"/>
      <c r="AJ110" s="17"/>
      <c r="AK110" s="17"/>
    </row>
    <row r="111" spans="2:37" s="8" customFormat="1" x14ac:dyDescent="0.45">
      <c r="B111" s="8" t="s">
        <v>38</v>
      </c>
      <c r="C111" s="8" t="s">
        <v>66</v>
      </c>
      <c r="E111" s="8" t="s">
        <v>6</v>
      </c>
      <c r="F111" s="8" t="s">
        <v>43</v>
      </c>
      <c r="G111" s="8" t="s">
        <v>8</v>
      </c>
      <c r="H111" s="8" t="s">
        <v>1</v>
      </c>
      <c r="I111" s="8" t="s">
        <v>41</v>
      </c>
      <c r="J111" s="16">
        <v>45874</v>
      </c>
      <c r="L111" s="17">
        <v>0</v>
      </c>
      <c r="M111" s="17"/>
      <c r="N111" s="17"/>
      <c r="O111" s="17"/>
      <c r="P111" s="17">
        <f t="shared" ref="P111" si="249">IF(H111="USD",O111*Z111,O111)</f>
        <v>0</v>
      </c>
      <c r="Q111" s="17"/>
      <c r="R111" s="17">
        <v>1160</v>
      </c>
      <c r="S111" s="18">
        <v>112</v>
      </c>
      <c r="T111" s="17"/>
      <c r="U111" s="17">
        <v>12</v>
      </c>
      <c r="V111" s="18">
        <v>1009.01</v>
      </c>
      <c r="W111" s="17">
        <v>10.19</v>
      </c>
      <c r="X111" s="17">
        <f t="shared" si="213"/>
        <v>-150.99</v>
      </c>
      <c r="Y111" s="17">
        <f t="shared" si="214"/>
        <v>-206.85630000000003</v>
      </c>
      <c r="Z111" s="19">
        <v>1.37</v>
      </c>
      <c r="AA111" s="19">
        <f t="shared" ref="AA111" si="250">IF(H111="USD",Z111,1)</f>
        <v>1.37</v>
      </c>
      <c r="AB111" s="19"/>
      <c r="AC111" s="17">
        <f t="shared" ref="AC111" si="251">IF(Q111="",0,Q111*AA111)</f>
        <v>0</v>
      </c>
      <c r="AD111" s="17">
        <f t="shared" ref="AD111" si="252">IF(Q111="",0,N111*AA111)</f>
        <v>0</v>
      </c>
      <c r="AE111" s="17">
        <f t="shared" ref="AE111" si="253">IF(N111="",0,N111-Q111)</f>
        <v>0</v>
      </c>
      <c r="AF111" s="17">
        <f t="shared" ref="AF111" si="254">IF(N111="",0,AE111*AA111)</f>
        <v>0</v>
      </c>
      <c r="AG111" s="20" t="str">
        <f t="shared" ref="AG111" si="255">IF(OR(N111=0,Q111=0),"",N111/Q111-1)</f>
        <v/>
      </c>
      <c r="AH111" s="17">
        <f t="shared" ref="AH111" si="256">AD111+P111</f>
        <v>0</v>
      </c>
      <c r="AI111" s="17"/>
      <c r="AJ111" s="17"/>
      <c r="AK111" s="17"/>
    </row>
    <row r="112" spans="2:37" s="8" customFormat="1" x14ac:dyDescent="0.45">
      <c r="B112" s="8" t="s">
        <v>38</v>
      </c>
      <c r="C112" s="8" t="s">
        <v>63</v>
      </c>
      <c r="E112" s="8" t="s">
        <v>6</v>
      </c>
      <c r="F112" s="8" t="s">
        <v>50</v>
      </c>
      <c r="G112" s="8" t="s">
        <v>8</v>
      </c>
      <c r="H112" s="8" t="s">
        <v>1</v>
      </c>
      <c r="I112" s="8" t="s">
        <v>41</v>
      </c>
      <c r="L112" s="17"/>
      <c r="M112" s="17"/>
      <c r="N112" s="17"/>
      <c r="O112" s="17">
        <f t="shared" ref="O112" si="257">L112+M112</f>
        <v>0</v>
      </c>
      <c r="P112" s="17">
        <f>IF(H112="USD",O112*Z112,O112)</f>
        <v>0</v>
      </c>
      <c r="Q112" s="17"/>
      <c r="R112" s="17">
        <v>329</v>
      </c>
      <c r="S112" s="18">
        <v>16.48</v>
      </c>
      <c r="T112" s="17"/>
      <c r="U112" s="17">
        <v>20</v>
      </c>
      <c r="V112" s="18">
        <v>248.8</v>
      </c>
      <c r="W112" s="17">
        <v>12.44</v>
      </c>
      <c r="X112" s="17">
        <f t="shared" si="213"/>
        <v>-80.199999999999989</v>
      </c>
      <c r="Y112" s="17">
        <f t="shared" si="214"/>
        <v>-109.874</v>
      </c>
      <c r="Z112" s="19">
        <v>1.37</v>
      </c>
      <c r="AA112" s="19">
        <f>IF(H112="USD",Z112,1)</f>
        <v>1.37</v>
      </c>
      <c r="AB112" s="19"/>
      <c r="AC112" s="17">
        <f t="shared" ref="AC112" si="258">IF(Q112="",0,Q112*AA112)</f>
        <v>0</v>
      </c>
      <c r="AD112" s="17">
        <f t="shared" ref="AD112" si="259">IF(Q112="",0,N112*AA112)</f>
        <v>0</v>
      </c>
      <c r="AE112" s="17">
        <f t="shared" ref="AE112" si="260">IF(N112="",0,N112-Q112)</f>
        <v>0</v>
      </c>
      <c r="AF112" s="17">
        <f t="shared" ref="AF112" si="261">IF(N112="",0,AE112*AA112)</f>
        <v>0</v>
      </c>
      <c r="AG112" s="20" t="str">
        <f t="shared" ref="AG112" si="262">IF(OR(N112=0,Q112=0),"",N112/Q112-1)</f>
        <v/>
      </c>
      <c r="AH112" s="17">
        <f t="shared" ref="AH112" si="263">AD112+P112</f>
        <v>0</v>
      </c>
      <c r="AI112" s="17"/>
      <c r="AJ112" s="17"/>
      <c r="AK112" s="17"/>
    </row>
    <row r="113" spans="2:40" s="8" customFormat="1" x14ac:dyDescent="0.45">
      <c r="B113" s="8" t="s">
        <v>38</v>
      </c>
      <c r="C113" s="8" t="s">
        <v>46</v>
      </c>
      <c r="E113" s="8" t="s">
        <v>6</v>
      </c>
      <c r="F113" s="8" t="s">
        <v>43</v>
      </c>
      <c r="G113" s="8" t="s">
        <v>9</v>
      </c>
      <c r="H113" s="8" t="s">
        <v>45</v>
      </c>
      <c r="I113" s="8" t="s">
        <v>41</v>
      </c>
      <c r="J113" s="16">
        <v>45663</v>
      </c>
      <c r="K113" s="16"/>
      <c r="L113" s="17"/>
      <c r="M113" s="17"/>
      <c r="N113" s="17"/>
      <c r="O113" s="17"/>
      <c r="P113" s="17">
        <f>IF(H113="USD",O113*Z113,O113)</f>
        <v>0</v>
      </c>
      <c r="Q113" s="17"/>
      <c r="R113" s="17">
        <v>4383</v>
      </c>
      <c r="S113" s="18">
        <v>125.2437</v>
      </c>
      <c r="T113" s="17"/>
      <c r="U113" s="17">
        <v>35</v>
      </c>
      <c r="V113" s="18">
        <v>7410</v>
      </c>
      <c r="W113" s="17">
        <v>153</v>
      </c>
      <c r="X113" s="17">
        <f t="shared" si="213"/>
        <v>3027</v>
      </c>
      <c r="Y113" s="17">
        <f t="shared" si="214"/>
        <v>3027</v>
      </c>
      <c r="Z113" s="19">
        <v>1.37</v>
      </c>
      <c r="AA113" s="19">
        <f>IF(H113="USD",Z113,1)</f>
        <v>1</v>
      </c>
      <c r="AB113" s="19"/>
      <c r="AC113" s="17">
        <f>IF(Q113="",0,Q113*AA113)</f>
        <v>0</v>
      </c>
      <c r="AD113" s="17">
        <f>IF(Q113="",0,N113*AA113)</f>
        <v>0</v>
      </c>
      <c r="AE113" s="17">
        <f>IF(N113="",0,N113-Q113)</f>
        <v>0</v>
      </c>
      <c r="AF113" s="17">
        <f>IF(N113="",0,AE113*AA113)</f>
        <v>0</v>
      </c>
      <c r="AG113" s="20" t="str">
        <f>IF(OR(N113=0,Q113=0),"",N113/Q113-1)</f>
        <v/>
      </c>
      <c r="AH113" s="17">
        <f>AD113+P113</f>
        <v>0</v>
      </c>
      <c r="AI113" s="17"/>
      <c r="AJ113" s="17"/>
      <c r="AK113" s="17"/>
    </row>
    <row r="114" spans="2:40" s="8" customFormat="1" x14ac:dyDescent="0.45">
      <c r="B114" s="8" t="s">
        <v>38</v>
      </c>
      <c r="C114" s="8" t="s">
        <v>46</v>
      </c>
      <c r="E114" s="8" t="s">
        <v>6</v>
      </c>
      <c r="F114" s="8" t="s">
        <v>43</v>
      </c>
      <c r="G114" s="8" t="s">
        <v>9</v>
      </c>
      <c r="H114" s="8" t="s">
        <v>45</v>
      </c>
      <c r="I114" s="8" t="s">
        <v>41</v>
      </c>
      <c r="J114" s="16">
        <v>45663</v>
      </c>
      <c r="K114" s="16">
        <v>45917</v>
      </c>
      <c r="L114" s="17"/>
      <c r="M114" s="17"/>
      <c r="N114" s="17"/>
      <c r="O114" s="17">
        <f t="shared" ref="O114" si="264">L114+M114</f>
        <v>0</v>
      </c>
      <c r="P114" s="17">
        <f>IF(H114="USD",O114*Z114,O114)</f>
        <v>0</v>
      </c>
      <c r="Q114" s="17"/>
      <c r="R114" s="17">
        <v>4383</v>
      </c>
      <c r="S114" s="18">
        <v>125.2437</v>
      </c>
      <c r="T114" s="17"/>
      <c r="U114" s="17">
        <v>35</v>
      </c>
      <c r="V114" s="18">
        <v>7895</v>
      </c>
      <c r="W114" s="17">
        <v>166</v>
      </c>
      <c r="X114" s="17">
        <f t="shared" si="213"/>
        <v>3512</v>
      </c>
      <c r="Y114" s="17">
        <f t="shared" si="214"/>
        <v>3512</v>
      </c>
      <c r="Z114" s="19">
        <v>1.37</v>
      </c>
      <c r="AA114" s="19">
        <f>IF(H114="USD",Z114,1)</f>
        <v>1</v>
      </c>
      <c r="AB114" s="19"/>
      <c r="AC114" s="17">
        <f>IF(Q114="",0,Q114*AA114)</f>
        <v>0</v>
      </c>
      <c r="AD114" s="17">
        <f>IF(Q114="",0,N114*AA114)</f>
        <v>0</v>
      </c>
      <c r="AE114" s="17">
        <f>IF(N114="",0,N114-Q114)</f>
        <v>0</v>
      </c>
      <c r="AF114" s="17">
        <f>IF(N114="",0,AE114*AA114)</f>
        <v>0</v>
      </c>
      <c r="AG114" s="20" t="str">
        <f>IF(OR(N114=0,Q114=0),"",N114/Q114-1)</f>
        <v/>
      </c>
      <c r="AH114" s="17">
        <f>AD114+P114</f>
        <v>0</v>
      </c>
      <c r="AI114" s="17"/>
      <c r="AJ114" s="17"/>
      <c r="AK114" s="17"/>
    </row>
    <row r="115" spans="2:40" s="8" customFormat="1" x14ac:dyDescent="0.45">
      <c r="B115" s="8" t="s">
        <v>38</v>
      </c>
      <c r="C115" s="8" t="s">
        <v>57</v>
      </c>
      <c r="E115" s="8" t="s">
        <v>7</v>
      </c>
      <c r="F115" s="8" t="s">
        <v>43</v>
      </c>
      <c r="G115" s="8" t="s">
        <v>8</v>
      </c>
      <c r="H115" s="8" t="s">
        <v>1</v>
      </c>
      <c r="I115" s="8" t="s">
        <v>53</v>
      </c>
      <c r="J115" s="16">
        <v>45839</v>
      </c>
      <c r="L115" s="17"/>
      <c r="M115" s="17"/>
      <c r="N115" s="17"/>
      <c r="O115" s="17">
        <f t="shared" ref="O115" si="265">L115+M115</f>
        <v>0</v>
      </c>
      <c r="P115" s="17">
        <f t="shared" ref="P115:P139" si="266">IF(H115="USD",O115*Z115,O115)</f>
        <v>0</v>
      </c>
      <c r="Q115" s="17"/>
      <c r="R115" s="17">
        <f>911*2/5</f>
        <v>364.4</v>
      </c>
      <c r="S115" s="18">
        <v>1.8225</v>
      </c>
      <c r="U115" s="17">
        <v>2</v>
      </c>
      <c r="V115" s="28">
        <v>697.51</v>
      </c>
      <c r="W115" s="8">
        <f>697.51/2</f>
        <v>348.755</v>
      </c>
      <c r="X115" s="17">
        <f t="shared" si="213"/>
        <v>333.11</v>
      </c>
      <c r="Y115" s="17">
        <f t="shared" si="214"/>
        <v>456.36070000000007</v>
      </c>
      <c r="Z115" s="19">
        <v>1.37</v>
      </c>
      <c r="AA115" s="19">
        <f t="shared" ref="AA115:AA139" si="267">IF(H115="USD",Z115,1)</f>
        <v>1.37</v>
      </c>
      <c r="AB115" s="19"/>
      <c r="AC115" s="17">
        <f t="shared" ref="AC115:AC139" si="268">IF(Q115="",0,Q115*AA115)</f>
        <v>0</v>
      </c>
      <c r="AD115" s="17">
        <f t="shared" ref="AD115:AD139" si="269">IF(Q115="",0,N115*AA115)</f>
        <v>0</v>
      </c>
      <c r="AE115" s="17">
        <f t="shared" ref="AE115:AE139" si="270">IF(N115="",0,N115-Q115)</f>
        <v>0</v>
      </c>
      <c r="AF115" s="17">
        <f t="shared" ref="AF115:AF139" si="271">IF(N115="",0,AE115*AA115)</f>
        <v>0</v>
      </c>
      <c r="AG115" s="20" t="str">
        <f t="shared" ref="AG115:AG139" si="272">IF(OR(N115=0,Q115=0),"",N115/Q115-1)</f>
        <v/>
      </c>
      <c r="AH115" s="17">
        <f t="shared" ref="AH115:AH139" si="273">AD115+P115</f>
        <v>0</v>
      </c>
      <c r="AI115" s="17"/>
      <c r="AJ115" s="17"/>
      <c r="AK115" s="17"/>
    </row>
    <row r="116" spans="2:40" s="8" customFormat="1" x14ac:dyDescent="0.45">
      <c r="B116" s="8" t="s">
        <v>38</v>
      </c>
      <c r="C116" s="8" t="s">
        <v>42</v>
      </c>
      <c r="E116" s="8" t="s">
        <v>6</v>
      </c>
      <c r="F116" s="8" t="s">
        <v>43</v>
      </c>
      <c r="G116" s="8" t="s">
        <v>8</v>
      </c>
      <c r="H116" s="8" t="s">
        <v>1</v>
      </c>
      <c r="I116" s="8" t="s">
        <v>41</v>
      </c>
      <c r="J116" s="16">
        <v>45674</v>
      </c>
      <c r="L116" s="17"/>
      <c r="M116" s="17"/>
      <c r="N116" s="17"/>
      <c r="O116" s="17">
        <f>L116+M116</f>
        <v>0</v>
      </c>
      <c r="P116" s="17">
        <f t="shared" si="266"/>
        <v>0</v>
      </c>
      <c r="Q116" s="17"/>
      <c r="R116" s="17">
        <v>6315</v>
      </c>
      <c r="S116" s="18">
        <v>9.02</v>
      </c>
      <c r="T116" s="17"/>
      <c r="U116" s="17">
        <v>700</v>
      </c>
      <c r="V116" s="18">
        <f>12585+121</f>
        <v>12706</v>
      </c>
      <c r="W116" s="17">
        <v>18</v>
      </c>
      <c r="X116" s="17">
        <f t="shared" si="213"/>
        <v>6391</v>
      </c>
      <c r="Y116" s="17">
        <f t="shared" si="214"/>
        <v>8755.67</v>
      </c>
      <c r="Z116" s="19">
        <v>1.37</v>
      </c>
      <c r="AA116" s="19">
        <f t="shared" si="267"/>
        <v>1.37</v>
      </c>
      <c r="AB116" s="19"/>
      <c r="AC116" s="17">
        <f t="shared" si="268"/>
        <v>0</v>
      </c>
      <c r="AD116" s="17">
        <f t="shared" si="269"/>
        <v>0</v>
      </c>
      <c r="AE116" s="17">
        <f t="shared" si="270"/>
        <v>0</v>
      </c>
      <c r="AF116" s="17">
        <f t="shared" si="271"/>
        <v>0</v>
      </c>
      <c r="AG116" s="20" t="str">
        <f t="shared" si="272"/>
        <v/>
      </c>
      <c r="AH116" s="17">
        <f t="shared" si="273"/>
        <v>0</v>
      </c>
      <c r="AI116" s="17"/>
      <c r="AJ116" s="17"/>
      <c r="AK116" s="17"/>
    </row>
    <row r="117" spans="2:40" s="8" customFormat="1" x14ac:dyDescent="0.45">
      <c r="B117" s="8" t="s">
        <v>38</v>
      </c>
      <c r="C117" s="8" t="s">
        <v>52</v>
      </c>
      <c r="E117" s="8" t="s">
        <v>6</v>
      </c>
      <c r="F117" s="8" t="s">
        <v>50</v>
      </c>
      <c r="G117" s="8" t="s">
        <v>8</v>
      </c>
      <c r="H117" s="8" t="s">
        <v>45</v>
      </c>
      <c r="I117" s="8" t="s">
        <v>41</v>
      </c>
      <c r="L117" s="17"/>
      <c r="M117" s="17"/>
      <c r="N117" s="17"/>
      <c r="O117" s="17">
        <f t="shared" ref="O117" si="274">L117+M117</f>
        <v>0</v>
      </c>
      <c r="P117" s="17">
        <f t="shared" si="266"/>
        <v>0</v>
      </c>
      <c r="Q117" s="17"/>
      <c r="R117" s="17">
        <v>2456.3953488372094</v>
      </c>
      <c r="S117" s="18">
        <v>24.57</v>
      </c>
      <c r="T117" s="17"/>
      <c r="U117" s="17">
        <v>100</v>
      </c>
      <c r="V117" s="28">
        <f>100*37.5</f>
        <v>3750</v>
      </c>
      <c r="W117" s="21">
        <f>V117/U117</f>
        <v>37.5</v>
      </c>
      <c r="X117" s="17">
        <f t="shared" si="213"/>
        <v>1293.6046511627906</v>
      </c>
      <c r="Y117" s="17">
        <f t="shared" si="214"/>
        <v>1293.6046511627906</v>
      </c>
      <c r="Z117" s="19">
        <v>1.37</v>
      </c>
      <c r="AA117" s="19">
        <f t="shared" si="267"/>
        <v>1</v>
      </c>
      <c r="AB117" s="19"/>
      <c r="AC117" s="17">
        <f t="shared" si="268"/>
        <v>0</v>
      </c>
      <c r="AD117" s="17">
        <f t="shared" si="269"/>
        <v>0</v>
      </c>
      <c r="AE117" s="17">
        <f t="shared" si="270"/>
        <v>0</v>
      </c>
      <c r="AF117" s="17">
        <f t="shared" si="271"/>
        <v>0</v>
      </c>
      <c r="AG117" s="20" t="str">
        <f t="shared" si="272"/>
        <v/>
      </c>
      <c r="AH117" s="17">
        <f t="shared" si="273"/>
        <v>0</v>
      </c>
      <c r="AI117" s="17"/>
      <c r="AJ117" s="17"/>
      <c r="AK117" s="17"/>
    </row>
    <row r="118" spans="2:40" s="8" customFormat="1" x14ac:dyDescent="0.45">
      <c r="B118" s="8" t="s">
        <v>38</v>
      </c>
      <c r="C118" s="8" t="s">
        <v>71</v>
      </c>
      <c r="E118" s="8" t="s">
        <v>6</v>
      </c>
      <c r="F118" s="8" t="s">
        <v>50</v>
      </c>
      <c r="G118" s="8" t="s">
        <v>8</v>
      </c>
      <c r="H118" s="8" t="s">
        <v>1</v>
      </c>
      <c r="I118" s="8" t="s">
        <v>41</v>
      </c>
      <c r="L118" s="17"/>
      <c r="M118" s="17"/>
      <c r="N118" s="17"/>
      <c r="O118" s="17">
        <f>L118+M118</f>
        <v>0</v>
      </c>
      <c r="P118" s="17">
        <f t="shared" si="266"/>
        <v>0</v>
      </c>
      <c r="Q118" s="17"/>
      <c r="R118" s="17">
        <v>1539</v>
      </c>
      <c r="S118" s="18">
        <v>85.5</v>
      </c>
      <c r="T118" s="17"/>
      <c r="U118" s="17">
        <v>18</v>
      </c>
      <c r="V118" s="18">
        <v>694.8</v>
      </c>
      <c r="W118" s="18">
        <v>38.6</v>
      </c>
      <c r="X118" s="17">
        <f t="shared" si="213"/>
        <v>-844.2</v>
      </c>
      <c r="Y118" s="17">
        <f t="shared" si="214"/>
        <v>-1156.5540000000001</v>
      </c>
      <c r="Z118" s="19">
        <v>1.37</v>
      </c>
      <c r="AA118" s="19">
        <f t="shared" si="267"/>
        <v>1.37</v>
      </c>
      <c r="AB118" s="19"/>
      <c r="AC118" s="17">
        <f t="shared" si="268"/>
        <v>0</v>
      </c>
      <c r="AD118" s="17">
        <f t="shared" si="269"/>
        <v>0</v>
      </c>
      <c r="AE118" s="17">
        <f t="shared" si="270"/>
        <v>0</v>
      </c>
      <c r="AF118" s="17">
        <f t="shared" si="271"/>
        <v>0</v>
      </c>
      <c r="AG118" s="20" t="str">
        <f t="shared" si="272"/>
        <v/>
      </c>
      <c r="AH118" s="17">
        <f t="shared" si="273"/>
        <v>0</v>
      </c>
      <c r="AI118" s="17"/>
      <c r="AJ118" s="17"/>
      <c r="AK118" s="17"/>
    </row>
    <row r="119" spans="2:40" s="8" customFormat="1" x14ac:dyDescent="0.45">
      <c r="B119" s="8" t="s">
        <v>38</v>
      </c>
      <c r="C119" s="8" t="s">
        <v>56</v>
      </c>
      <c r="E119" s="8" t="s">
        <v>6</v>
      </c>
      <c r="F119" s="8" t="s">
        <v>43</v>
      </c>
      <c r="G119" s="8" t="s">
        <v>0</v>
      </c>
      <c r="H119" s="8" t="s">
        <v>1</v>
      </c>
      <c r="I119" s="8" t="s">
        <v>41</v>
      </c>
      <c r="L119" s="17"/>
      <c r="M119" s="17"/>
      <c r="N119" s="17"/>
      <c r="O119" s="17">
        <f>L119+M119</f>
        <v>0</v>
      </c>
      <c r="P119" s="17">
        <f t="shared" si="266"/>
        <v>0</v>
      </c>
      <c r="Q119" s="17"/>
      <c r="R119" s="17">
        <v>3954.58</v>
      </c>
      <c r="S119" s="18">
        <v>72.12</v>
      </c>
      <c r="T119" s="17"/>
      <c r="U119" s="17">
        <v>60</v>
      </c>
      <c r="V119" s="18">
        <v>4490</v>
      </c>
      <c r="W119" s="17">
        <f>V119/U119</f>
        <v>74.833333333333329</v>
      </c>
      <c r="X119" s="17">
        <f t="shared" si="213"/>
        <v>535.42000000000007</v>
      </c>
      <c r="Y119" s="17">
        <f t="shared" si="214"/>
        <v>733.5254000000001</v>
      </c>
      <c r="Z119" s="19">
        <v>1.37</v>
      </c>
      <c r="AA119" s="19">
        <f t="shared" si="267"/>
        <v>1.37</v>
      </c>
      <c r="AB119" s="19"/>
      <c r="AC119" s="17">
        <f t="shared" si="268"/>
        <v>0</v>
      </c>
      <c r="AD119" s="17">
        <f t="shared" si="269"/>
        <v>0</v>
      </c>
      <c r="AE119" s="17">
        <f t="shared" si="270"/>
        <v>0</v>
      </c>
      <c r="AF119" s="17">
        <f t="shared" si="271"/>
        <v>0</v>
      </c>
      <c r="AG119" s="20" t="str">
        <f t="shared" si="272"/>
        <v/>
      </c>
      <c r="AH119" s="17">
        <f t="shared" si="273"/>
        <v>0</v>
      </c>
      <c r="AI119" s="17"/>
      <c r="AJ119" s="17"/>
      <c r="AK119" s="17"/>
    </row>
    <row r="120" spans="2:40" s="8" customFormat="1" x14ac:dyDescent="0.45">
      <c r="B120" s="8" t="s">
        <v>38</v>
      </c>
      <c r="C120" s="8" t="s">
        <v>71</v>
      </c>
      <c r="E120" s="8" t="s">
        <v>6</v>
      </c>
      <c r="F120" s="8" t="s">
        <v>50</v>
      </c>
      <c r="G120" s="8" t="s">
        <v>5</v>
      </c>
      <c r="H120" s="8" t="s">
        <v>1</v>
      </c>
      <c r="I120" s="8" t="s">
        <v>41</v>
      </c>
      <c r="K120" s="16">
        <v>45841</v>
      </c>
      <c r="L120" s="17"/>
      <c r="M120" s="17"/>
      <c r="N120" s="17"/>
      <c r="O120" s="17">
        <f>L120+M120</f>
        <v>0</v>
      </c>
      <c r="P120" s="17">
        <f t="shared" si="266"/>
        <v>0</v>
      </c>
      <c r="Q120" s="17"/>
      <c r="R120" s="17">
        <v>4200</v>
      </c>
      <c r="S120" s="18"/>
      <c r="T120" s="17"/>
      <c r="U120" s="17">
        <v>50</v>
      </c>
      <c r="V120" s="18">
        <v>1987</v>
      </c>
      <c r="W120" s="8">
        <v>39.75</v>
      </c>
      <c r="X120" s="17">
        <f t="shared" si="213"/>
        <v>-2213</v>
      </c>
      <c r="Y120" s="17">
        <f t="shared" si="214"/>
        <v>-3031.8100000000004</v>
      </c>
      <c r="Z120" s="19">
        <v>1.37</v>
      </c>
      <c r="AA120" s="19">
        <f t="shared" si="267"/>
        <v>1.37</v>
      </c>
      <c r="AB120" s="19"/>
      <c r="AC120" s="17">
        <f t="shared" si="268"/>
        <v>0</v>
      </c>
      <c r="AD120" s="17">
        <f t="shared" si="269"/>
        <v>0</v>
      </c>
      <c r="AE120" s="17">
        <f t="shared" si="270"/>
        <v>0</v>
      </c>
      <c r="AF120" s="17">
        <f t="shared" si="271"/>
        <v>0</v>
      </c>
      <c r="AG120" s="20" t="str">
        <f t="shared" si="272"/>
        <v/>
      </c>
      <c r="AH120" s="17">
        <f t="shared" si="273"/>
        <v>0</v>
      </c>
      <c r="AI120" s="17"/>
      <c r="AJ120" s="17"/>
      <c r="AK120" s="17"/>
    </row>
    <row r="121" spans="2:40" s="8" customFormat="1" x14ac:dyDescent="0.45">
      <c r="B121" s="8" t="s">
        <v>38</v>
      </c>
      <c r="C121" s="8" t="s">
        <v>59</v>
      </c>
      <c r="E121" s="8" t="s">
        <v>6</v>
      </c>
      <c r="F121" s="8" t="s">
        <v>50</v>
      </c>
      <c r="G121" s="8" t="s">
        <v>5</v>
      </c>
      <c r="H121" s="8" t="s">
        <v>1</v>
      </c>
      <c r="I121" s="8" t="s">
        <v>41</v>
      </c>
      <c r="J121" s="16">
        <v>46017</v>
      </c>
      <c r="K121" s="16">
        <v>45841</v>
      </c>
      <c r="L121" s="17"/>
      <c r="M121" s="17"/>
      <c r="N121" s="17"/>
      <c r="O121" s="17"/>
      <c r="P121" s="17">
        <f t="shared" si="266"/>
        <v>0</v>
      </c>
      <c r="Q121" s="17"/>
      <c r="R121" s="17">
        <v>2725</v>
      </c>
      <c r="S121" s="18">
        <v>54.5</v>
      </c>
      <c r="T121" s="17">
        <v>0</v>
      </c>
      <c r="U121" s="17">
        <v>50</v>
      </c>
      <c r="V121" s="28">
        <f>50*56.18</f>
        <v>2809</v>
      </c>
      <c r="W121" s="17">
        <v>56.18</v>
      </c>
      <c r="X121" s="17">
        <f t="shared" si="213"/>
        <v>84</v>
      </c>
      <c r="Y121" s="17">
        <f t="shared" si="214"/>
        <v>115.08000000000001</v>
      </c>
      <c r="Z121" s="19">
        <v>1.37</v>
      </c>
      <c r="AA121" s="19">
        <f t="shared" si="267"/>
        <v>1.37</v>
      </c>
      <c r="AB121" s="19"/>
      <c r="AC121" s="17">
        <f t="shared" si="268"/>
        <v>0</v>
      </c>
      <c r="AD121" s="17">
        <f t="shared" si="269"/>
        <v>0</v>
      </c>
      <c r="AE121" s="17">
        <f t="shared" si="270"/>
        <v>0</v>
      </c>
      <c r="AF121" s="17">
        <f t="shared" si="271"/>
        <v>0</v>
      </c>
      <c r="AG121" s="20" t="str">
        <f t="shared" si="272"/>
        <v/>
      </c>
      <c r="AH121" s="17">
        <f t="shared" si="273"/>
        <v>0</v>
      </c>
      <c r="AI121" s="17"/>
      <c r="AJ121" s="17"/>
      <c r="AK121" s="17"/>
    </row>
    <row r="122" spans="2:40" s="8" customFormat="1" x14ac:dyDescent="0.45">
      <c r="B122" s="8" t="s">
        <v>38</v>
      </c>
      <c r="C122" s="8" t="s">
        <v>58</v>
      </c>
      <c r="E122" s="8" t="s">
        <v>6</v>
      </c>
      <c r="F122" s="8" t="s">
        <v>43</v>
      </c>
      <c r="G122" s="8" t="s">
        <v>0</v>
      </c>
      <c r="H122" s="8" t="s">
        <v>1</v>
      </c>
      <c r="I122" s="8" t="s">
        <v>53</v>
      </c>
      <c r="J122" s="16">
        <v>45784</v>
      </c>
      <c r="L122" s="17"/>
      <c r="M122" s="17"/>
      <c r="N122" s="17"/>
      <c r="O122" s="17">
        <f>L122+M122</f>
        <v>0</v>
      </c>
      <c r="P122" s="17">
        <f t="shared" si="266"/>
        <v>0</v>
      </c>
      <c r="Q122" s="17"/>
      <c r="R122" s="17">
        <v>1122.49</v>
      </c>
      <c r="S122" s="18">
        <v>1.1225000000000001</v>
      </c>
      <c r="T122" s="17"/>
      <c r="U122" s="17">
        <v>10</v>
      </c>
      <c r="V122" s="18">
        <v>1437</v>
      </c>
      <c r="W122" s="17">
        <v>0</v>
      </c>
      <c r="X122" s="17">
        <f t="shared" si="213"/>
        <v>314.51</v>
      </c>
      <c r="Y122" s="17">
        <f t="shared" si="214"/>
        <v>430.87870000000004</v>
      </c>
      <c r="Z122" s="19">
        <v>1.37</v>
      </c>
      <c r="AA122" s="19">
        <f t="shared" si="267"/>
        <v>1.37</v>
      </c>
      <c r="AB122" s="19"/>
      <c r="AC122" s="17">
        <f t="shared" si="268"/>
        <v>0</v>
      </c>
      <c r="AD122" s="17">
        <f t="shared" si="269"/>
        <v>0</v>
      </c>
      <c r="AE122" s="17">
        <f t="shared" si="270"/>
        <v>0</v>
      </c>
      <c r="AF122" s="17">
        <f t="shared" si="271"/>
        <v>0</v>
      </c>
      <c r="AG122" s="20" t="str">
        <f t="shared" si="272"/>
        <v/>
      </c>
      <c r="AH122" s="17">
        <f t="shared" si="273"/>
        <v>0</v>
      </c>
      <c r="AI122" s="17"/>
      <c r="AJ122" s="17"/>
      <c r="AK122" s="17"/>
      <c r="AM122" s="21"/>
      <c r="AN122" s="21"/>
    </row>
    <row r="123" spans="2:40" s="8" customFormat="1" x14ac:dyDescent="0.45">
      <c r="B123" s="8" t="s">
        <v>38</v>
      </c>
      <c r="C123" s="8" t="s">
        <v>39</v>
      </c>
      <c r="E123" s="8" t="s">
        <v>6</v>
      </c>
      <c r="F123" s="8" t="s">
        <v>40</v>
      </c>
      <c r="G123" s="8" t="s">
        <v>8</v>
      </c>
      <c r="H123" s="8" t="s">
        <v>1</v>
      </c>
      <c r="I123" s="8" t="s">
        <v>41</v>
      </c>
      <c r="K123" s="16">
        <v>45793</v>
      </c>
      <c r="L123" s="17"/>
      <c r="M123" s="17"/>
      <c r="N123" s="17"/>
      <c r="O123" s="17">
        <f t="shared" ref="O123" si="275">L123+M123</f>
        <v>0</v>
      </c>
      <c r="P123" s="17">
        <f t="shared" si="266"/>
        <v>0</v>
      </c>
      <c r="Q123" s="17"/>
      <c r="R123" s="17">
        <f>100*25.1</f>
        <v>2510</v>
      </c>
      <c r="S123" s="18">
        <v>25.05</v>
      </c>
      <c r="T123" s="17"/>
      <c r="U123" s="17">
        <v>100</v>
      </c>
      <c r="V123" s="18">
        <f>100*129.8</f>
        <v>12980.000000000002</v>
      </c>
      <c r="W123" s="17">
        <v>129</v>
      </c>
      <c r="X123" s="17">
        <f t="shared" si="213"/>
        <v>10470.000000000002</v>
      </c>
      <c r="Y123" s="17">
        <f t="shared" si="214"/>
        <v>14343.900000000003</v>
      </c>
      <c r="Z123" s="19">
        <v>1.37</v>
      </c>
      <c r="AA123" s="19">
        <f t="shared" si="267"/>
        <v>1.37</v>
      </c>
      <c r="AB123" s="19"/>
      <c r="AC123" s="17">
        <f t="shared" si="268"/>
        <v>0</v>
      </c>
      <c r="AD123" s="17">
        <f t="shared" si="269"/>
        <v>0</v>
      </c>
      <c r="AE123" s="17">
        <f t="shared" si="270"/>
        <v>0</v>
      </c>
      <c r="AF123" s="17">
        <f t="shared" si="271"/>
        <v>0</v>
      </c>
      <c r="AG123" s="20" t="str">
        <f t="shared" si="272"/>
        <v/>
      </c>
      <c r="AH123" s="17">
        <f t="shared" si="273"/>
        <v>0</v>
      </c>
      <c r="AI123" s="17"/>
      <c r="AJ123" s="17"/>
      <c r="AK123" s="17"/>
    </row>
    <row r="124" spans="2:40" s="8" customFormat="1" x14ac:dyDescent="0.45">
      <c r="B124" s="8" t="s">
        <v>38</v>
      </c>
      <c r="C124" s="8" t="s">
        <v>42</v>
      </c>
      <c r="E124" s="8" t="s">
        <v>6</v>
      </c>
      <c r="F124" s="8" t="s">
        <v>43</v>
      </c>
      <c r="G124" s="8" t="s">
        <v>8</v>
      </c>
      <c r="H124" s="8" t="s">
        <v>1</v>
      </c>
      <c r="I124" s="8" t="s">
        <v>53</v>
      </c>
      <c r="K124" s="22">
        <v>45689</v>
      </c>
      <c r="L124" s="17"/>
      <c r="M124" s="17"/>
      <c r="N124" s="17">
        <v>0</v>
      </c>
      <c r="O124" s="17">
        <f t="shared" ref="O124:O129" si="276">L124+M124</f>
        <v>0</v>
      </c>
      <c r="P124" s="17">
        <f t="shared" si="266"/>
        <v>0</v>
      </c>
      <c r="Q124" s="17">
        <v>0</v>
      </c>
      <c r="R124" s="17">
        <v>824.71</v>
      </c>
      <c r="S124" s="18">
        <v>0.82469999999999999</v>
      </c>
      <c r="T124" s="17">
        <v>0</v>
      </c>
      <c r="U124" s="17">
        <v>1000</v>
      </c>
      <c r="V124" s="18"/>
      <c r="W124" s="17">
        <v>0</v>
      </c>
      <c r="X124" s="17">
        <f t="shared" si="213"/>
        <v>-824.71</v>
      </c>
      <c r="Y124" s="17">
        <f t="shared" si="214"/>
        <v>-1129.8527000000001</v>
      </c>
      <c r="Z124" s="19">
        <v>1.37</v>
      </c>
      <c r="AA124" s="19">
        <f t="shared" si="267"/>
        <v>1.37</v>
      </c>
      <c r="AB124" s="19"/>
      <c r="AC124" s="17">
        <f t="shared" si="268"/>
        <v>0</v>
      </c>
      <c r="AD124" s="17">
        <f t="shared" si="269"/>
        <v>0</v>
      </c>
      <c r="AE124" s="17">
        <f t="shared" si="270"/>
        <v>0</v>
      </c>
      <c r="AF124" s="17">
        <f t="shared" si="271"/>
        <v>0</v>
      </c>
      <c r="AG124" s="20" t="str">
        <f t="shared" si="272"/>
        <v/>
      </c>
      <c r="AH124" s="17">
        <f t="shared" si="273"/>
        <v>0</v>
      </c>
      <c r="AI124" s="17"/>
      <c r="AJ124" s="17"/>
      <c r="AK124" s="17"/>
      <c r="AL124" s="8" t="s">
        <v>61</v>
      </c>
    </row>
    <row r="125" spans="2:40" s="8" customFormat="1" x14ac:dyDescent="0.45">
      <c r="B125" s="8" t="s">
        <v>38</v>
      </c>
      <c r="C125" s="8" t="s">
        <v>42</v>
      </c>
      <c r="E125" s="8" t="s">
        <v>6</v>
      </c>
      <c r="F125" s="8" t="s">
        <v>43</v>
      </c>
      <c r="G125" s="8" t="s">
        <v>8</v>
      </c>
      <c r="H125" s="8" t="s">
        <v>1</v>
      </c>
      <c r="I125" s="8" t="s">
        <v>53</v>
      </c>
      <c r="L125" s="17"/>
      <c r="M125" s="17"/>
      <c r="N125" s="17">
        <v>0</v>
      </c>
      <c r="O125" s="17">
        <f t="shared" si="276"/>
        <v>0</v>
      </c>
      <c r="P125" s="17">
        <f t="shared" si="266"/>
        <v>0</v>
      </c>
      <c r="Q125" s="17">
        <v>0</v>
      </c>
      <c r="R125" s="17">
        <v>826.99</v>
      </c>
      <c r="S125" s="18">
        <v>2.0674999999999999</v>
      </c>
      <c r="T125" s="17">
        <v>0</v>
      </c>
      <c r="U125" s="17">
        <v>399.99516324062881</v>
      </c>
      <c r="V125" s="18"/>
      <c r="W125" s="17"/>
      <c r="X125" s="17">
        <f t="shared" si="213"/>
        <v>-826.99</v>
      </c>
      <c r="Y125" s="17">
        <f t="shared" si="214"/>
        <v>-1132.9763</v>
      </c>
      <c r="Z125" s="19">
        <v>1.37</v>
      </c>
      <c r="AA125" s="19">
        <f t="shared" si="267"/>
        <v>1.37</v>
      </c>
      <c r="AB125" s="19"/>
      <c r="AC125" s="17">
        <f t="shared" si="268"/>
        <v>0</v>
      </c>
      <c r="AD125" s="17">
        <f t="shared" si="269"/>
        <v>0</v>
      </c>
      <c r="AE125" s="17">
        <f t="shared" si="270"/>
        <v>0</v>
      </c>
      <c r="AF125" s="17">
        <f t="shared" si="271"/>
        <v>0</v>
      </c>
      <c r="AG125" s="20" t="str">
        <f t="shared" si="272"/>
        <v/>
      </c>
      <c r="AH125" s="17">
        <f t="shared" si="273"/>
        <v>0</v>
      </c>
      <c r="AI125" s="17"/>
      <c r="AJ125" s="17"/>
      <c r="AK125" s="17"/>
      <c r="AL125" s="8" t="s">
        <v>61</v>
      </c>
    </row>
    <row r="126" spans="2:40" s="8" customFormat="1" x14ac:dyDescent="0.45">
      <c r="B126" s="8" t="s">
        <v>38</v>
      </c>
      <c r="C126" s="8" t="s">
        <v>62</v>
      </c>
      <c r="E126" s="8" t="s">
        <v>6</v>
      </c>
      <c r="F126" s="8" t="s">
        <v>43</v>
      </c>
      <c r="G126" s="8" t="s">
        <v>8</v>
      </c>
      <c r="H126" s="8" t="s">
        <v>1</v>
      </c>
      <c r="I126" s="8" t="s">
        <v>53</v>
      </c>
      <c r="K126" s="23">
        <v>45713</v>
      </c>
      <c r="L126" s="17"/>
      <c r="M126" s="17"/>
      <c r="N126" s="17">
        <v>0</v>
      </c>
      <c r="O126" s="17">
        <f t="shared" si="276"/>
        <v>0</v>
      </c>
      <c r="P126" s="17">
        <f t="shared" si="266"/>
        <v>0</v>
      </c>
      <c r="Q126" s="17"/>
      <c r="R126" s="17">
        <v>1372.49</v>
      </c>
      <c r="S126" s="18"/>
      <c r="T126" s="17"/>
      <c r="U126" s="17"/>
      <c r="V126" s="18">
        <v>0</v>
      </c>
      <c r="W126" s="17"/>
      <c r="X126" s="17">
        <f t="shared" si="213"/>
        <v>-1372.49</v>
      </c>
      <c r="Y126" s="17">
        <f t="shared" si="214"/>
        <v>-1880.3113000000001</v>
      </c>
      <c r="Z126" s="19">
        <v>1.37</v>
      </c>
      <c r="AA126" s="19">
        <f t="shared" si="267"/>
        <v>1.37</v>
      </c>
      <c r="AB126" s="19"/>
      <c r="AC126" s="17">
        <f t="shared" si="268"/>
        <v>0</v>
      </c>
      <c r="AD126" s="17">
        <f t="shared" si="269"/>
        <v>0</v>
      </c>
      <c r="AE126" s="17">
        <f t="shared" si="270"/>
        <v>0</v>
      </c>
      <c r="AF126" s="17">
        <f t="shared" si="271"/>
        <v>0</v>
      </c>
      <c r="AG126" s="20" t="str">
        <f t="shared" si="272"/>
        <v/>
      </c>
      <c r="AH126" s="17">
        <f t="shared" si="273"/>
        <v>0</v>
      </c>
      <c r="AI126" s="17"/>
      <c r="AJ126" s="17"/>
      <c r="AK126" s="17"/>
      <c r="AL126" s="8" t="s">
        <v>64</v>
      </c>
    </row>
    <row r="127" spans="2:40" s="8" customFormat="1" x14ac:dyDescent="0.45">
      <c r="B127" s="8" t="s">
        <v>38</v>
      </c>
      <c r="C127" s="8" t="s">
        <v>67</v>
      </c>
      <c r="E127" s="8" t="s">
        <v>6</v>
      </c>
      <c r="F127" s="8" t="s">
        <v>43</v>
      </c>
      <c r="G127" s="8" t="s">
        <v>8</v>
      </c>
      <c r="H127" s="8" t="s">
        <v>1</v>
      </c>
      <c r="I127" s="8" t="s">
        <v>53</v>
      </c>
      <c r="K127" s="23">
        <v>45682</v>
      </c>
      <c r="L127" s="17"/>
      <c r="M127" s="17"/>
      <c r="N127" s="17">
        <v>0</v>
      </c>
      <c r="O127" s="17">
        <f t="shared" si="276"/>
        <v>0</v>
      </c>
      <c r="P127" s="17">
        <f t="shared" si="266"/>
        <v>0</v>
      </c>
      <c r="Q127" s="17">
        <v>0</v>
      </c>
      <c r="R127" s="17">
        <v>165</v>
      </c>
      <c r="S127" s="18"/>
      <c r="T127" s="17"/>
      <c r="U127" s="17"/>
      <c r="V127" s="18"/>
      <c r="W127" s="17"/>
      <c r="X127" s="17">
        <f t="shared" si="213"/>
        <v>-165</v>
      </c>
      <c r="Y127" s="17">
        <f t="shared" si="214"/>
        <v>-226.05</v>
      </c>
      <c r="Z127" s="19">
        <v>1.37</v>
      </c>
      <c r="AA127" s="19">
        <f t="shared" si="267"/>
        <v>1.37</v>
      </c>
      <c r="AB127" s="19"/>
      <c r="AC127" s="17">
        <f t="shared" si="268"/>
        <v>0</v>
      </c>
      <c r="AD127" s="17">
        <f t="shared" si="269"/>
        <v>0</v>
      </c>
      <c r="AE127" s="17">
        <f t="shared" si="270"/>
        <v>0</v>
      </c>
      <c r="AF127" s="17">
        <f t="shared" si="271"/>
        <v>0</v>
      </c>
      <c r="AG127" s="20" t="str">
        <f t="shared" si="272"/>
        <v/>
      </c>
      <c r="AH127" s="17">
        <f t="shared" si="273"/>
        <v>0</v>
      </c>
      <c r="AI127" s="17"/>
      <c r="AJ127" s="17"/>
      <c r="AK127" s="17"/>
    </row>
    <row r="128" spans="2:40" s="8" customFormat="1" x14ac:dyDescent="0.45">
      <c r="B128" s="8" t="s">
        <v>38</v>
      </c>
      <c r="C128" s="8" t="s">
        <v>39</v>
      </c>
      <c r="E128" s="8" t="s">
        <v>6</v>
      </c>
      <c r="F128" s="8" t="s">
        <v>43</v>
      </c>
      <c r="G128" s="8" t="s">
        <v>8</v>
      </c>
      <c r="H128" s="8" t="s">
        <v>1</v>
      </c>
      <c r="I128" s="8" t="s">
        <v>53</v>
      </c>
      <c r="J128" s="16">
        <v>45694</v>
      </c>
      <c r="K128" s="24">
        <v>45708</v>
      </c>
      <c r="L128" s="17"/>
      <c r="M128" s="17"/>
      <c r="N128" s="17">
        <v>0</v>
      </c>
      <c r="O128" s="17">
        <f t="shared" si="276"/>
        <v>0</v>
      </c>
      <c r="P128" s="17">
        <f t="shared" si="266"/>
        <v>0</v>
      </c>
      <c r="Q128" s="17">
        <v>0</v>
      </c>
      <c r="R128" s="17">
        <v>1047</v>
      </c>
      <c r="S128" s="18">
        <v>0</v>
      </c>
      <c r="T128" s="17">
        <v>0</v>
      </c>
      <c r="U128" s="17">
        <v>200</v>
      </c>
      <c r="V128" s="18">
        <v>1930</v>
      </c>
      <c r="W128" s="17"/>
      <c r="X128" s="17">
        <f t="shared" si="213"/>
        <v>883</v>
      </c>
      <c r="Y128" s="17">
        <f t="shared" si="214"/>
        <v>1209.71</v>
      </c>
      <c r="Z128" s="19">
        <v>1.37</v>
      </c>
      <c r="AA128" s="19">
        <f t="shared" si="267"/>
        <v>1.37</v>
      </c>
      <c r="AB128" s="19"/>
      <c r="AC128" s="17">
        <f t="shared" si="268"/>
        <v>0</v>
      </c>
      <c r="AD128" s="17">
        <f t="shared" si="269"/>
        <v>0</v>
      </c>
      <c r="AE128" s="17">
        <f t="shared" si="270"/>
        <v>0</v>
      </c>
      <c r="AF128" s="17">
        <f t="shared" si="271"/>
        <v>0</v>
      </c>
      <c r="AG128" s="20" t="str">
        <f t="shared" si="272"/>
        <v/>
      </c>
      <c r="AH128" s="17">
        <f t="shared" si="273"/>
        <v>0</v>
      </c>
      <c r="AI128" s="17"/>
      <c r="AJ128" s="17"/>
      <c r="AK128" s="17"/>
    </row>
    <row r="129" spans="2:38" s="8" customFormat="1" x14ac:dyDescent="0.45">
      <c r="B129" s="8" t="s">
        <v>38</v>
      </c>
      <c r="C129" s="8" t="s">
        <v>54</v>
      </c>
      <c r="E129" s="8" t="s">
        <v>6</v>
      </c>
      <c r="F129" s="8" t="s">
        <v>40</v>
      </c>
      <c r="G129" s="8" t="s">
        <v>8</v>
      </c>
      <c r="H129" s="8" t="s">
        <v>1</v>
      </c>
      <c r="I129" s="8" t="s">
        <v>41</v>
      </c>
      <c r="J129" s="16">
        <v>45657</v>
      </c>
      <c r="K129" s="16">
        <v>45688</v>
      </c>
      <c r="L129" s="17"/>
      <c r="M129" s="17"/>
      <c r="N129" s="17">
        <v>0</v>
      </c>
      <c r="O129" s="17">
        <f t="shared" si="276"/>
        <v>0</v>
      </c>
      <c r="P129" s="17">
        <f t="shared" si="266"/>
        <v>0</v>
      </c>
      <c r="Q129" s="17">
        <v>0</v>
      </c>
      <c r="R129" s="17">
        <v>2238</v>
      </c>
      <c r="S129" s="18">
        <v>22.5</v>
      </c>
      <c r="T129" s="17">
        <v>0</v>
      </c>
      <c r="U129" s="17">
        <v>100</v>
      </c>
      <c r="V129" s="18">
        <f>100*30</f>
        <v>3000</v>
      </c>
      <c r="W129" s="17">
        <v>30</v>
      </c>
      <c r="X129" s="17">
        <f t="shared" si="213"/>
        <v>762</v>
      </c>
      <c r="Y129" s="17">
        <f t="shared" si="214"/>
        <v>1043.94</v>
      </c>
      <c r="Z129" s="19">
        <v>1.37</v>
      </c>
      <c r="AA129" s="19">
        <f t="shared" si="267"/>
        <v>1.37</v>
      </c>
      <c r="AB129" s="19"/>
      <c r="AC129" s="17">
        <f t="shared" si="268"/>
        <v>0</v>
      </c>
      <c r="AD129" s="17">
        <f t="shared" si="269"/>
        <v>0</v>
      </c>
      <c r="AE129" s="17">
        <f t="shared" si="270"/>
        <v>0</v>
      </c>
      <c r="AF129" s="17">
        <f t="shared" si="271"/>
        <v>0</v>
      </c>
      <c r="AG129" s="20" t="str">
        <f t="shared" si="272"/>
        <v/>
      </c>
      <c r="AH129" s="17">
        <f t="shared" si="273"/>
        <v>0</v>
      </c>
      <c r="AI129" s="17">
        <f>4*T129</f>
        <v>0</v>
      </c>
      <c r="AJ129" s="17"/>
      <c r="AK129" s="17"/>
    </row>
    <row r="130" spans="2:38" s="8" customFormat="1" x14ac:dyDescent="0.45">
      <c r="B130" s="8" t="s">
        <v>38</v>
      </c>
      <c r="C130" s="8" t="s">
        <v>39</v>
      </c>
      <c r="E130" s="8" t="s">
        <v>6</v>
      </c>
      <c r="F130" s="8" t="s">
        <v>40</v>
      </c>
      <c r="G130" s="8" t="s">
        <v>8</v>
      </c>
      <c r="H130" s="8" t="s">
        <v>1</v>
      </c>
      <c r="I130" s="8" t="s">
        <v>41</v>
      </c>
      <c r="L130" s="17"/>
      <c r="M130" s="17"/>
      <c r="N130" s="17"/>
      <c r="O130" s="17"/>
      <c r="P130" s="17">
        <f t="shared" si="266"/>
        <v>0</v>
      </c>
      <c r="Q130" s="17"/>
      <c r="R130" s="17">
        <v>2505</v>
      </c>
      <c r="S130" s="18">
        <v>25.05</v>
      </c>
      <c r="T130" s="17"/>
      <c r="U130" s="17">
        <v>100</v>
      </c>
      <c r="V130" s="18">
        <v>8500</v>
      </c>
      <c r="W130" s="17">
        <v>85</v>
      </c>
      <c r="X130" s="17">
        <f t="shared" si="213"/>
        <v>5995</v>
      </c>
      <c r="Y130" s="17">
        <f t="shared" si="214"/>
        <v>8213.1500000000015</v>
      </c>
      <c r="Z130" s="19">
        <v>1.37</v>
      </c>
      <c r="AA130" s="19">
        <f t="shared" si="267"/>
        <v>1.37</v>
      </c>
      <c r="AB130" s="19"/>
      <c r="AC130" s="17">
        <f t="shared" si="268"/>
        <v>0</v>
      </c>
      <c r="AD130" s="17">
        <f t="shared" si="269"/>
        <v>0</v>
      </c>
      <c r="AE130" s="17">
        <f t="shared" si="270"/>
        <v>0</v>
      </c>
      <c r="AF130" s="17">
        <f t="shared" si="271"/>
        <v>0</v>
      </c>
      <c r="AG130" s="20" t="str">
        <f t="shared" si="272"/>
        <v/>
      </c>
      <c r="AH130" s="17">
        <f t="shared" si="273"/>
        <v>0</v>
      </c>
      <c r="AI130" s="17"/>
      <c r="AJ130" s="17"/>
      <c r="AK130" s="17"/>
    </row>
    <row r="131" spans="2:38" s="8" customFormat="1" x14ac:dyDescent="0.45">
      <c r="B131" s="8" t="s">
        <v>38</v>
      </c>
      <c r="C131" s="8" t="s">
        <v>60</v>
      </c>
      <c r="E131" s="8" t="s">
        <v>6</v>
      </c>
      <c r="F131" s="8" t="s">
        <v>40</v>
      </c>
      <c r="G131" s="8" t="s">
        <v>0</v>
      </c>
      <c r="H131" s="8" t="s">
        <v>1</v>
      </c>
      <c r="I131" s="8" t="s">
        <v>41</v>
      </c>
      <c r="J131" s="16">
        <v>45702</v>
      </c>
      <c r="K131" s="16">
        <v>45709</v>
      </c>
      <c r="L131" s="17"/>
      <c r="M131" s="17"/>
      <c r="N131" s="17"/>
      <c r="O131" s="17"/>
      <c r="P131" s="17">
        <f t="shared" si="266"/>
        <v>0</v>
      </c>
      <c r="Q131" s="17"/>
      <c r="R131" s="17">
        <f>154*86.4/1.435</f>
        <v>9272.1951219512193</v>
      </c>
      <c r="S131" s="18">
        <v>60.739199999999997</v>
      </c>
      <c r="T131" s="17">
        <v>0</v>
      </c>
      <c r="U131" s="17">
        <v>154</v>
      </c>
      <c r="V131" s="18">
        <v>9273</v>
      </c>
      <c r="W131" s="17">
        <f>V131/U131</f>
        <v>60.214285714285715</v>
      </c>
      <c r="X131" s="17">
        <f t="shared" si="213"/>
        <v>0.80487804878066527</v>
      </c>
      <c r="Y131" s="17">
        <f t="shared" si="214"/>
        <v>1.1026829268295115</v>
      </c>
      <c r="Z131" s="19">
        <v>1.37</v>
      </c>
      <c r="AA131" s="19">
        <f t="shared" si="267"/>
        <v>1.37</v>
      </c>
      <c r="AB131" s="19"/>
      <c r="AC131" s="17">
        <f t="shared" si="268"/>
        <v>0</v>
      </c>
      <c r="AD131" s="17">
        <f t="shared" si="269"/>
        <v>0</v>
      </c>
      <c r="AE131" s="17">
        <f t="shared" si="270"/>
        <v>0</v>
      </c>
      <c r="AF131" s="17">
        <f t="shared" si="271"/>
        <v>0</v>
      </c>
      <c r="AG131" s="20" t="str">
        <f t="shared" si="272"/>
        <v/>
      </c>
      <c r="AH131" s="17">
        <f t="shared" si="273"/>
        <v>0</v>
      </c>
      <c r="AI131" s="17"/>
      <c r="AJ131" s="17"/>
      <c r="AK131" s="17"/>
    </row>
    <row r="132" spans="2:38" s="8" customFormat="1" x14ac:dyDescent="0.45">
      <c r="B132" s="8" t="s">
        <v>38</v>
      </c>
      <c r="C132" s="8" t="s">
        <v>72</v>
      </c>
      <c r="E132" s="8" t="s">
        <v>6</v>
      </c>
      <c r="F132" s="8" t="s">
        <v>50</v>
      </c>
      <c r="G132" s="8" t="s">
        <v>8</v>
      </c>
      <c r="H132" s="8" t="s">
        <v>1</v>
      </c>
      <c r="I132" s="8" t="s">
        <v>53</v>
      </c>
      <c r="K132" s="23">
        <v>45682</v>
      </c>
      <c r="L132" s="17"/>
      <c r="M132" s="17"/>
      <c r="N132" s="17">
        <v>0</v>
      </c>
      <c r="O132" s="17">
        <f>L132+M132</f>
        <v>0</v>
      </c>
      <c r="P132" s="17">
        <f t="shared" si="266"/>
        <v>0</v>
      </c>
      <c r="Q132" s="17">
        <v>0</v>
      </c>
      <c r="R132" s="17">
        <v>1920</v>
      </c>
      <c r="S132" s="18">
        <v>192</v>
      </c>
      <c r="T132" s="17">
        <v>0</v>
      </c>
      <c r="U132" s="17">
        <v>10</v>
      </c>
      <c r="V132" s="28"/>
      <c r="X132" s="17">
        <f t="shared" si="213"/>
        <v>-1920</v>
      </c>
      <c r="Y132" s="17">
        <f t="shared" si="214"/>
        <v>-2630.4</v>
      </c>
      <c r="Z132" s="19">
        <v>1.37</v>
      </c>
      <c r="AA132" s="19">
        <f t="shared" si="267"/>
        <v>1.37</v>
      </c>
      <c r="AB132" s="19"/>
      <c r="AC132" s="17">
        <f t="shared" si="268"/>
        <v>0</v>
      </c>
      <c r="AD132" s="17">
        <f t="shared" si="269"/>
        <v>0</v>
      </c>
      <c r="AE132" s="17">
        <f t="shared" si="270"/>
        <v>0</v>
      </c>
      <c r="AF132" s="17">
        <f t="shared" si="271"/>
        <v>0</v>
      </c>
      <c r="AG132" s="20" t="str">
        <f t="shared" si="272"/>
        <v/>
      </c>
      <c r="AH132" s="17">
        <f t="shared" si="273"/>
        <v>0</v>
      </c>
      <c r="AI132" s="17"/>
      <c r="AJ132" s="17"/>
      <c r="AK132" s="17"/>
      <c r="AL132" s="8" t="s">
        <v>70</v>
      </c>
    </row>
    <row r="133" spans="2:38" s="8" customFormat="1" x14ac:dyDescent="0.45">
      <c r="B133" s="8" t="s">
        <v>38</v>
      </c>
      <c r="C133" s="8" t="s">
        <v>55</v>
      </c>
      <c r="E133" s="8" t="s">
        <v>6</v>
      </c>
      <c r="F133" s="8" t="s">
        <v>50</v>
      </c>
      <c r="G133" s="8" t="s">
        <v>5</v>
      </c>
      <c r="H133" s="8" t="s">
        <v>1</v>
      </c>
      <c r="I133" s="8" t="s">
        <v>41</v>
      </c>
      <c r="K133" s="16">
        <v>45678</v>
      </c>
      <c r="L133" s="17"/>
      <c r="M133" s="17"/>
      <c r="N133" s="17">
        <v>0</v>
      </c>
      <c r="O133" s="17">
        <f>L133+M133</f>
        <v>0</v>
      </c>
      <c r="P133" s="17">
        <f t="shared" si="266"/>
        <v>0</v>
      </c>
      <c r="Q133" s="17">
        <v>0</v>
      </c>
      <c r="R133" s="17">
        <v>944.93</v>
      </c>
      <c r="S133" s="18">
        <v>134.99</v>
      </c>
      <c r="T133" s="17">
        <v>0</v>
      </c>
      <c r="U133" s="17">
        <v>7</v>
      </c>
      <c r="V133" s="18">
        <v>1551</v>
      </c>
      <c r="W133" s="17">
        <v>231</v>
      </c>
      <c r="X133" s="17">
        <f t="shared" si="213"/>
        <v>606.07000000000005</v>
      </c>
      <c r="Y133" s="17">
        <f t="shared" si="214"/>
        <v>830.31590000000017</v>
      </c>
      <c r="Z133" s="19">
        <v>1.37</v>
      </c>
      <c r="AA133" s="19">
        <f t="shared" si="267"/>
        <v>1.37</v>
      </c>
      <c r="AB133" s="19"/>
      <c r="AC133" s="17">
        <f t="shared" si="268"/>
        <v>0</v>
      </c>
      <c r="AD133" s="17">
        <f t="shared" si="269"/>
        <v>0</v>
      </c>
      <c r="AE133" s="17">
        <f t="shared" si="270"/>
        <v>0</v>
      </c>
      <c r="AF133" s="17">
        <f t="shared" si="271"/>
        <v>0</v>
      </c>
      <c r="AG133" s="20" t="str">
        <f t="shared" si="272"/>
        <v/>
      </c>
      <c r="AH133" s="17">
        <f t="shared" si="273"/>
        <v>0</v>
      </c>
      <c r="AI133" s="17"/>
      <c r="AJ133" s="17"/>
      <c r="AK133" s="17"/>
    </row>
    <row r="134" spans="2:38" s="8" customFormat="1" x14ac:dyDescent="0.45">
      <c r="B134" s="8" t="s">
        <v>38</v>
      </c>
      <c r="C134" s="8" t="s">
        <v>49</v>
      </c>
      <c r="E134" s="8" t="s">
        <v>6</v>
      </c>
      <c r="F134" s="8" t="s">
        <v>50</v>
      </c>
      <c r="G134" s="8" t="s">
        <v>5</v>
      </c>
      <c r="H134" s="8" t="s">
        <v>1</v>
      </c>
      <c r="I134" s="8" t="s">
        <v>41</v>
      </c>
      <c r="K134" s="16">
        <v>45674</v>
      </c>
      <c r="L134" s="17"/>
      <c r="M134" s="17"/>
      <c r="N134" s="17">
        <v>0</v>
      </c>
      <c r="O134" s="17">
        <f>L134+M134</f>
        <v>0</v>
      </c>
      <c r="P134" s="17">
        <f t="shared" si="266"/>
        <v>0</v>
      </c>
      <c r="Q134" s="17">
        <v>0</v>
      </c>
      <c r="R134" s="17">
        <v>1580</v>
      </c>
      <c r="S134" s="18">
        <v>263.33</v>
      </c>
      <c r="T134" s="17">
        <v>0</v>
      </c>
      <c r="U134" s="17">
        <v>6</v>
      </c>
      <c r="V134" s="18">
        <v>2622</v>
      </c>
      <c r="W134" s="17">
        <v>421</v>
      </c>
      <c r="X134" s="17">
        <f t="shared" si="213"/>
        <v>1042</v>
      </c>
      <c r="Y134" s="17">
        <f t="shared" si="214"/>
        <v>1427.5400000000002</v>
      </c>
      <c r="Z134" s="19">
        <v>1.37</v>
      </c>
      <c r="AA134" s="19">
        <f t="shared" si="267"/>
        <v>1.37</v>
      </c>
      <c r="AB134" s="19"/>
      <c r="AC134" s="17">
        <f t="shared" si="268"/>
        <v>0</v>
      </c>
      <c r="AD134" s="17">
        <f t="shared" si="269"/>
        <v>0</v>
      </c>
      <c r="AE134" s="17">
        <f t="shared" si="270"/>
        <v>0</v>
      </c>
      <c r="AF134" s="17">
        <f t="shared" si="271"/>
        <v>0</v>
      </c>
      <c r="AG134" s="20" t="str">
        <f t="shared" si="272"/>
        <v/>
      </c>
      <c r="AH134" s="17">
        <f t="shared" si="273"/>
        <v>0</v>
      </c>
      <c r="AI134" s="17"/>
      <c r="AJ134" s="17"/>
      <c r="AK134" s="17"/>
    </row>
    <row r="135" spans="2:38" s="8" customFormat="1" x14ac:dyDescent="0.45">
      <c r="B135" s="8" t="s">
        <v>38</v>
      </c>
      <c r="C135" s="8" t="s">
        <v>68</v>
      </c>
      <c r="E135" s="8" t="s">
        <v>6</v>
      </c>
      <c r="F135" s="8" t="s">
        <v>50</v>
      </c>
      <c r="G135" s="8" t="s">
        <v>5</v>
      </c>
      <c r="H135" s="8" t="s">
        <v>45</v>
      </c>
      <c r="I135" s="8" t="s">
        <v>41</v>
      </c>
      <c r="K135" s="16">
        <v>45652</v>
      </c>
      <c r="L135" s="17"/>
      <c r="M135" s="17"/>
      <c r="N135" s="17">
        <v>0</v>
      </c>
      <c r="O135" s="17">
        <f>L135+M135</f>
        <v>0</v>
      </c>
      <c r="P135" s="17">
        <f t="shared" si="266"/>
        <v>0</v>
      </c>
      <c r="Q135" s="17">
        <v>0</v>
      </c>
      <c r="R135" s="17">
        <v>407</v>
      </c>
      <c r="S135" s="18">
        <v>203</v>
      </c>
      <c r="T135" s="17">
        <v>0</v>
      </c>
      <c r="U135" s="17">
        <v>2</v>
      </c>
      <c r="V135" s="18">
        <v>12.2</v>
      </c>
      <c r="X135" s="17">
        <f t="shared" si="213"/>
        <v>-394.8</v>
      </c>
      <c r="Y135" s="17">
        <f t="shared" si="214"/>
        <v>-394.8</v>
      </c>
      <c r="Z135" s="19">
        <v>1.37</v>
      </c>
      <c r="AA135" s="19">
        <f t="shared" si="267"/>
        <v>1</v>
      </c>
      <c r="AB135" s="19"/>
      <c r="AC135" s="17">
        <f t="shared" si="268"/>
        <v>0</v>
      </c>
      <c r="AD135" s="17">
        <f t="shared" si="269"/>
        <v>0</v>
      </c>
      <c r="AE135" s="17">
        <f t="shared" si="270"/>
        <v>0</v>
      </c>
      <c r="AF135" s="17">
        <f t="shared" si="271"/>
        <v>0</v>
      </c>
      <c r="AG135" s="20" t="str">
        <f t="shared" si="272"/>
        <v/>
      </c>
      <c r="AH135" s="17">
        <f t="shared" si="273"/>
        <v>0</v>
      </c>
      <c r="AI135" s="17"/>
      <c r="AJ135" s="17"/>
      <c r="AK135" s="17"/>
    </row>
    <row r="136" spans="2:38" s="8" customFormat="1" x14ac:dyDescent="0.45">
      <c r="B136" s="8" t="s">
        <v>38</v>
      </c>
      <c r="C136" s="8" t="s">
        <v>51</v>
      </c>
      <c r="E136" s="8" t="s">
        <v>7</v>
      </c>
      <c r="F136" s="8" t="s">
        <v>40</v>
      </c>
      <c r="G136" s="8" t="s">
        <v>0</v>
      </c>
      <c r="H136" s="8" t="s">
        <v>1</v>
      </c>
      <c r="I136" s="8" t="s">
        <v>41</v>
      </c>
      <c r="L136" s="17"/>
      <c r="M136" s="17"/>
      <c r="N136" s="17"/>
      <c r="O136" s="17">
        <f>L136+M136</f>
        <v>0</v>
      </c>
      <c r="P136" s="17">
        <f t="shared" si="266"/>
        <v>0</v>
      </c>
      <c r="Q136" s="17"/>
      <c r="R136" s="17">
        <v>3649.34</v>
      </c>
      <c r="S136" s="18">
        <v>158.667</v>
      </c>
      <c r="U136" s="8">
        <v>23</v>
      </c>
      <c r="V136" s="28">
        <f>23*203.5</f>
        <v>4680.5</v>
      </c>
      <c r="W136" s="8">
        <v>203.5</v>
      </c>
      <c r="X136" s="17">
        <f t="shared" si="213"/>
        <v>1031.1599999999999</v>
      </c>
      <c r="Y136" s="17">
        <f t="shared" si="214"/>
        <v>1412.6891999999998</v>
      </c>
      <c r="Z136" s="19">
        <v>1.37</v>
      </c>
      <c r="AA136" s="19">
        <f t="shared" si="267"/>
        <v>1.37</v>
      </c>
      <c r="AB136" s="19"/>
      <c r="AC136" s="17">
        <f t="shared" si="268"/>
        <v>0</v>
      </c>
      <c r="AD136" s="17">
        <f t="shared" si="269"/>
        <v>0</v>
      </c>
      <c r="AE136" s="17">
        <f t="shared" si="270"/>
        <v>0</v>
      </c>
      <c r="AF136" s="17">
        <f t="shared" si="271"/>
        <v>0</v>
      </c>
      <c r="AG136" s="20" t="str">
        <f t="shared" si="272"/>
        <v/>
      </c>
      <c r="AH136" s="17">
        <f t="shared" si="273"/>
        <v>0</v>
      </c>
      <c r="AI136" s="17"/>
      <c r="AJ136" s="17"/>
      <c r="AK136" s="17"/>
    </row>
    <row r="137" spans="2:38" s="8" customFormat="1" x14ac:dyDescent="0.45">
      <c r="B137" s="8" t="s">
        <v>38</v>
      </c>
      <c r="C137" s="8" t="s">
        <v>39</v>
      </c>
      <c r="E137" s="8" t="s">
        <v>6</v>
      </c>
      <c r="F137" s="8" t="s">
        <v>43</v>
      </c>
      <c r="G137" s="8" t="s">
        <v>9</v>
      </c>
      <c r="H137" s="8" t="s">
        <v>45</v>
      </c>
      <c r="I137" s="8" t="s">
        <v>41</v>
      </c>
      <c r="J137" s="16">
        <v>45653</v>
      </c>
      <c r="K137" s="16">
        <v>45698</v>
      </c>
      <c r="L137" s="17"/>
      <c r="M137" s="17"/>
      <c r="N137" s="17"/>
      <c r="O137" s="17"/>
      <c r="P137" s="17">
        <f t="shared" si="266"/>
        <v>0</v>
      </c>
      <c r="Q137" s="17"/>
      <c r="R137" s="17">
        <v>5792.45</v>
      </c>
      <c r="S137" s="18">
        <v>115.849</v>
      </c>
      <c r="T137" s="17"/>
      <c r="U137" s="17">
        <v>50</v>
      </c>
      <c r="V137" s="18">
        <v>8116</v>
      </c>
      <c r="W137" s="17">
        <v>115</v>
      </c>
      <c r="X137" s="17">
        <f t="shared" si="213"/>
        <v>2323.5500000000002</v>
      </c>
      <c r="Y137" s="17">
        <f t="shared" si="214"/>
        <v>2323.5500000000002</v>
      </c>
      <c r="Z137" s="19">
        <v>1.37</v>
      </c>
      <c r="AA137" s="19">
        <f t="shared" si="267"/>
        <v>1</v>
      </c>
      <c r="AB137" s="19"/>
      <c r="AC137" s="17">
        <f t="shared" si="268"/>
        <v>0</v>
      </c>
      <c r="AD137" s="17">
        <f t="shared" si="269"/>
        <v>0</v>
      </c>
      <c r="AE137" s="17">
        <f t="shared" si="270"/>
        <v>0</v>
      </c>
      <c r="AF137" s="17">
        <f t="shared" si="271"/>
        <v>0</v>
      </c>
      <c r="AG137" s="20" t="str">
        <f t="shared" si="272"/>
        <v/>
      </c>
      <c r="AH137" s="17">
        <f t="shared" si="273"/>
        <v>0</v>
      </c>
      <c r="AI137" s="17"/>
      <c r="AJ137" s="17"/>
      <c r="AK137" s="17"/>
    </row>
    <row r="138" spans="2:38" s="8" customFormat="1" x14ac:dyDescent="0.45">
      <c r="B138" s="8" t="s">
        <v>47</v>
      </c>
      <c r="C138" s="8" t="s">
        <v>48</v>
      </c>
      <c r="E138" s="8" t="s">
        <v>6</v>
      </c>
      <c r="F138" s="8" t="s">
        <v>40</v>
      </c>
      <c r="G138" s="8" t="s">
        <v>0</v>
      </c>
      <c r="H138" s="8" t="s">
        <v>1</v>
      </c>
      <c r="I138" s="8" t="s">
        <v>41</v>
      </c>
      <c r="J138" s="16">
        <v>45709</v>
      </c>
      <c r="K138" s="16">
        <v>45807</v>
      </c>
      <c r="L138" s="17"/>
      <c r="M138" s="17"/>
      <c r="N138" s="17"/>
      <c r="O138" s="17"/>
      <c r="P138" s="17">
        <f t="shared" si="266"/>
        <v>0</v>
      </c>
      <c r="Q138" s="17"/>
      <c r="R138" s="17">
        <v>5246.71</v>
      </c>
      <c r="S138" s="18">
        <v>52.47</v>
      </c>
      <c r="T138" s="17"/>
      <c r="U138" s="17">
        <v>100</v>
      </c>
      <c r="V138" s="18">
        <f>100*64.8</f>
        <v>6480</v>
      </c>
      <c r="W138" s="17">
        <v>64.8</v>
      </c>
      <c r="X138" s="17">
        <f t="shared" si="213"/>
        <v>1233.29</v>
      </c>
      <c r="Y138" s="17">
        <f t="shared" si="214"/>
        <v>1689.6073000000001</v>
      </c>
      <c r="Z138" s="19">
        <v>1.37</v>
      </c>
      <c r="AA138" s="19">
        <f t="shared" si="267"/>
        <v>1.37</v>
      </c>
      <c r="AB138" s="19"/>
      <c r="AC138" s="17">
        <f t="shared" si="268"/>
        <v>0</v>
      </c>
      <c r="AD138" s="17">
        <f t="shared" si="269"/>
        <v>0</v>
      </c>
      <c r="AE138" s="17">
        <f t="shared" si="270"/>
        <v>0</v>
      </c>
      <c r="AF138" s="17">
        <f t="shared" si="271"/>
        <v>0</v>
      </c>
      <c r="AG138" s="20" t="str">
        <f t="shared" si="272"/>
        <v/>
      </c>
      <c r="AH138" s="17">
        <f t="shared" si="273"/>
        <v>0</v>
      </c>
      <c r="AI138" s="17"/>
      <c r="AJ138" s="17"/>
      <c r="AK138" s="17"/>
    </row>
    <row r="139" spans="2:38" s="8" customFormat="1" x14ac:dyDescent="0.45">
      <c r="B139" s="8" t="s">
        <v>38</v>
      </c>
      <c r="C139" s="8" t="s">
        <v>65</v>
      </c>
      <c r="E139" s="8" t="s">
        <v>6</v>
      </c>
      <c r="F139" s="8" t="s">
        <v>40</v>
      </c>
      <c r="G139" s="8" t="s">
        <v>8</v>
      </c>
      <c r="H139" s="8" t="s">
        <v>1</v>
      </c>
      <c r="I139" s="8" t="s">
        <v>41</v>
      </c>
      <c r="K139" s="16">
        <v>45807</v>
      </c>
      <c r="L139" s="17"/>
      <c r="M139" s="17"/>
      <c r="N139" s="17"/>
      <c r="O139" s="17">
        <f>L139+M139</f>
        <v>0</v>
      </c>
      <c r="P139" s="17">
        <f t="shared" si="266"/>
        <v>0</v>
      </c>
      <c r="Q139" s="17"/>
      <c r="R139" s="17">
        <f>145.8*5</f>
        <v>729</v>
      </c>
      <c r="S139" s="18">
        <v>148.5</v>
      </c>
      <c r="T139" s="17"/>
      <c r="U139" s="17">
        <v>5</v>
      </c>
      <c r="V139" s="18">
        <f>5*127</f>
        <v>635</v>
      </c>
      <c r="W139" s="17">
        <v>127</v>
      </c>
      <c r="X139" s="17">
        <f t="shared" si="213"/>
        <v>-94</v>
      </c>
      <c r="Y139" s="17">
        <f t="shared" si="214"/>
        <v>-128.78</v>
      </c>
      <c r="Z139" s="19">
        <v>1.37</v>
      </c>
      <c r="AA139" s="19">
        <f t="shared" si="267"/>
        <v>1.37</v>
      </c>
      <c r="AB139" s="19"/>
      <c r="AC139" s="17">
        <f t="shared" si="268"/>
        <v>0</v>
      </c>
      <c r="AD139" s="17">
        <f t="shared" si="269"/>
        <v>0</v>
      </c>
      <c r="AE139" s="17">
        <f t="shared" si="270"/>
        <v>0</v>
      </c>
      <c r="AF139" s="17">
        <f t="shared" si="271"/>
        <v>0</v>
      </c>
      <c r="AG139" s="20" t="str">
        <f t="shared" si="272"/>
        <v/>
      </c>
      <c r="AH139" s="17">
        <f t="shared" si="273"/>
        <v>0</v>
      </c>
      <c r="AI139" s="17"/>
      <c r="AJ139" s="17"/>
      <c r="AK139" s="17"/>
    </row>
  </sheetData>
  <autoFilter ref="B3:AH139" xr:uid="{CEAE5659-DA2C-44EA-B807-F00AB6ADED6A}"/>
  <conditionalFormatting sqref="C1:C1048576">
    <cfRule type="cellIs" dxfId="17" priority="3" operator="equal">
      <formula>"zCash"</formula>
    </cfRule>
    <cfRule type="cellIs" dxfId="16" priority="4" operator="equal">
      <formula>"Cash"</formula>
    </cfRule>
  </conditionalFormatting>
  <conditionalFormatting sqref="C3:D81 C84:D139">
    <cfRule type="cellIs" dxfId="15" priority="68" operator="equal">
      <formula>"NA"</formula>
    </cfRule>
  </conditionalFormatting>
  <conditionalFormatting sqref="H4:H81 H84:H139">
    <cfRule type="cellIs" dxfId="14" priority="67" operator="equal">
      <formula>"USD"</formula>
    </cfRule>
  </conditionalFormatting>
  <conditionalFormatting sqref="J4:J5 I4:I14 J12:J14 I15:J15 J16:J17 I16:I62 I45:J45 I61:J61 I63:J64 I65:I81 I80:J80 I84:I139 I89:J90 I96:J96 L96:P96 I111:J111 I121:P121">
    <cfRule type="cellIs" dxfId="13" priority="65" operator="equal">
      <formula>"Option"</formula>
    </cfRule>
  </conditionalFormatting>
  <conditionalFormatting sqref="J8:J10">
    <cfRule type="cellIs" dxfId="12" priority="27" operator="equal">
      <formula>"Option"</formula>
    </cfRule>
  </conditionalFormatting>
  <conditionalFormatting sqref="J20:J21">
    <cfRule type="cellIs" dxfId="11" priority="25" operator="equal">
      <formula>"Option"</formula>
    </cfRule>
  </conditionalFormatting>
  <conditionalFormatting sqref="J25:J26">
    <cfRule type="cellIs" dxfId="10" priority="23" operator="equal">
      <formula>"Option"</formula>
    </cfRule>
  </conditionalFormatting>
  <conditionalFormatting sqref="J32:J33">
    <cfRule type="cellIs" dxfId="9" priority="22" operator="equal">
      <formula>"Option"</formula>
    </cfRule>
  </conditionalFormatting>
  <conditionalFormatting sqref="J35">
    <cfRule type="cellIs" dxfId="8" priority="21" operator="equal">
      <formula>"Option"</formula>
    </cfRule>
  </conditionalFormatting>
  <conditionalFormatting sqref="J46:J57">
    <cfRule type="cellIs" dxfId="7" priority="9" operator="equal">
      <formula>"Option"</formula>
    </cfRule>
  </conditionalFormatting>
  <conditionalFormatting sqref="J65">
    <cfRule type="cellIs" dxfId="6" priority="8" operator="equal">
      <formula>"Option"</formula>
    </cfRule>
  </conditionalFormatting>
  <conditionalFormatting sqref="J67">
    <cfRule type="cellIs" dxfId="5" priority="7" operator="equal">
      <formula>"Option"</formula>
    </cfRule>
  </conditionalFormatting>
  <conditionalFormatting sqref="J74:J75">
    <cfRule type="cellIs" dxfId="4" priority="5" operator="equal">
      <formula>"Option"</formula>
    </cfRule>
  </conditionalFormatting>
  <conditionalFormatting sqref="X4:Y81">
    <cfRule type="cellIs" dxfId="3" priority="48" operator="lessThan">
      <formula>0</formula>
    </cfRule>
    <cfRule type="cellIs" dxfId="2" priority="49" operator="greaterThan">
      <formula>0</formula>
    </cfRule>
  </conditionalFormatting>
  <conditionalFormatting sqref="X84:Y13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CD0E52-EF73-4E11-986B-FD12F3BA2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Equi_Pos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Kundra</dc:creator>
  <cp:keywords/>
  <dc:description/>
  <cp:lastModifiedBy>Naveen Kundra</cp:lastModifiedBy>
  <cp:revision/>
  <dcterms:created xsi:type="dcterms:W3CDTF">2022-09-30T15:22:36Z</dcterms:created>
  <dcterms:modified xsi:type="dcterms:W3CDTF">2026-06-21T18:40:59Z</dcterms:modified>
  <cp:category/>
  <cp:contentStatus/>
</cp:coreProperties>
</file>