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foli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1"/>
    </font>
    <font>
      <color rgb="00666666"/>
      <sz val="9"/>
    </font>
    <font>
      <b val="1"/>
      <sz val="10"/>
    </font>
    <font>
      <i val="1"/>
      <color rgb="00444444"/>
      <sz val="8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FF2E6"/>
      </patternFill>
    </fill>
    <fill>
      <patternFill patternType="solid">
        <fgColor rgb="00EBF1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</cols>
  <sheetData>
    <row r="1">
      <c r="A1" s="1" t="inlineStr">
        <is>
          <t>LEGEND:   Green = YOU FILL IN   |   Orange = CALCULATED (has formula)   |   Blue = LOOKUP (exchange rate)</t>
        </is>
      </c>
    </row>
    <row r="2">
      <c r="A2" s="2" t="inlineStr">
        <is>
          <t>INPUT</t>
        </is>
      </c>
      <c r="B2" s="2" t="inlineStr">
        <is>
          <t>INPUT</t>
        </is>
      </c>
      <c r="C2" s="2" t="inlineStr">
        <is>
          <t>INPUT</t>
        </is>
      </c>
      <c r="D2" s="2" t="inlineStr">
        <is>
          <t>INPUT</t>
        </is>
      </c>
      <c r="E2" s="2" t="inlineStr">
        <is>
          <t>INPUT</t>
        </is>
      </c>
      <c r="F2" s="2" t="inlineStr">
        <is>
          <t>INPUT</t>
        </is>
      </c>
      <c r="G2" s="2" t="inlineStr">
        <is>
          <t>INPUT</t>
        </is>
      </c>
      <c r="H2" s="2" t="inlineStr">
        <is>
          <t>INPUT</t>
        </is>
      </c>
      <c r="I2" s="2" t="inlineStr">
        <is>
          <t>INPUT</t>
        </is>
      </c>
      <c r="J2" s="2" t="inlineStr">
        <is>
          <t>INPUT</t>
        </is>
      </c>
      <c r="K2" s="2" t="inlineStr">
        <is>
          <t>INPUT</t>
        </is>
      </c>
      <c r="L2" s="2" t="inlineStr">
        <is>
          <t>INPUT</t>
        </is>
      </c>
      <c r="M2" s="2" t="inlineStr">
        <is>
          <t>INPUT</t>
        </is>
      </c>
      <c r="N2" s="3" t="inlineStr">
        <is>
          <t>CALC</t>
        </is>
      </c>
      <c r="O2" s="3" t="inlineStr">
        <is>
          <t>CALC</t>
        </is>
      </c>
      <c r="P2" s="3" t="inlineStr">
        <is>
          <t>CALC</t>
        </is>
      </c>
      <c r="Q2" s="3" t="inlineStr">
        <is>
          <t>CALC</t>
        </is>
      </c>
      <c r="R2" s="2" t="inlineStr">
        <is>
          <t>INPUT</t>
        </is>
      </c>
      <c r="S2" s="2" t="inlineStr">
        <is>
          <t>INPUT</t>
        </is>
      </c>
      <c r="T2" s="2" t="inlineStr">
        <is>
          <t>INPUT</t>
        </is>
      </c>
      <c r="U2" s="3" t="inlineStr">
        <is>
          <t>CALC</t>
        </is>
      </c>
      <c r="V2" s="2" t="inlineStr">
        <is>
          <t>INPUT</t>
        </is>
      </c>
      <c r="W2" s="3" t="inlineStr">
        <is>
          <t>CALC</t>
        </is>
      </c>
      <c r="X2" s="3" t="inlineStr">
        <is>
          <t>CALC</t>
        </is>
      </c>
      <c r="Y2" s="4" t="inlineStr">
        <is>
          <t>LOOKUP</t>
        </is>
      </c>
      <c r="Z2" s="3" t="inlineStr">
        <is>
          <t>CALC</t>
        </is>
      </c>
      <c r="AA2" s="3" t="inlineStr">
        <is>
          <t>CALC</t>
        </is>
      </c>
      <c r="AB2" s="3" t="inlineStr">
        <is>
          <t>CALC</t>
        </is>
      </c>
      <c r="AC2" s="3" t="inlineStr">
        <is>
          <t>CALC</t>
        </is>
      </c>
      <c r="AD2" s="3" t="inlineStr">
        <is>
          <t>CALC</t>
        </is>
      </c>
      <c r="AE2" s="3" t="inlineStr">
        <is>
          <t>CALC</t>
        </is>
      </c>
      <c r="AF2" s="3" t="inlineStr">
        <is>
          <t>CALC</t>
        </is>
      </c>
      <c r="AG2" s="3" t="inlineStr">
        <is>
          <t>CALC</t>
        </is>
      </c>
      <c r="AH2" s="3" t="inlineStr">
        <is>
          <t>CALC</t>
        </is>
      </c>
    </row>
    <row r="3">
      <c r="A3" s="5" t="inlineStr">
        <is>
          <t>Date_Updated</t>
        </is>
      </c>
      <c r="B3" s="5" t="inlineStr">
        <is>
          <t>TICK</t>
        </is>
      </c>
      <c r="C3" s="5" t="inlineStr">
        <is>
          <t>Par_TICK</t>
        </is>
      </c>
      <c r="D3" s="5" t="inlineStr">
        <is>
          <t>Name</t>
        </is>
      </c>
      <c r="E3" s="5" t="inlineStr">
        <is>
          <t>Platf</t>
        </is>
      </c>
      <c r="F3" s="5" t="inlineStr">
        <is>
          <t>Acc_Type</t>
        </is>
      </c>
      <c r="G3" s="5" t="inlineStr">
        <is>
          <t>Curr</t>
        </is>
      </c>
      <c r="H3" s="5" t="inlineStr">
        <is>
          <t>Inv_Type</t>
        </is>
      </c>
      <c r="I3" s="5" t="inlineStr">
        <is>
          <t>Dt. Pur</t>
        </is>
      </c>
      <c r="J3" s="5" t="inlineStr">
        <is>
          <t>Date Sold</t>
        </is>
      </c>
      <c r="K3" s="5" t="inlineStr">
        <is>
          <t>Cash</t>
        </is>
      </c>
      <c r="L3" s="5" t="inlineStr">
        <is>
          <t>Cash_Eqv</t>
        </is>
      </c>
      <c r="M3" s="5" t="inlineStr">
        <is>
          <t>Mkt_Val</t>
        </is>
      </c>
      <c r="N3" s="6" t="inlineStr">
        <is>
          <t>T_Cash</t>
        </is>
      </c>
      <c r="O3" s="6" t="inlineStr">
        <is>
          <t>T_Cash_Bal_In_CAD</t>
        </is>
      </c>
      <c r="P3" s="6" t="inlineStr">
        <is>
          <t>Book_P</t>
        </is>
      </c>
      <c r="Q3" s="6" t="inlineStr">
        <is>
          <t>BK_Cst_Sold</t>
        </is>
      </c>
      <c r="R3" s="5" t="inlineStr">
        <is>
          <t>Book_Pr_U</t>
        </is>
      </c>
      <c r="S3" s="5" t="inlineStr">
        <is>
          <t>Units</t>
        </is>
      </c>
      <c r="T3" s="5" t="inlineStr">
        <is>
          <t>Sold_Units</t>
        </is>
      </c>
      <c r="U3" s="6" t="inlineStr">
        <is>
          <t>Sold_MV</t>
        </is>
      </c>
      <c r="V3" s="5" t="inlineStr">
        <is>
          <t>Sold_Stock_Price</t>
        </is>
      </c>
      <c r="W3" s="6" t="inlineStr">
        <is>
          <t>Proft / Loss Booked (Curr)</t>
        </is>
      </c>
      <c r="X3" s="6" t="inlineStr">
        <is>
          <t>Proft / Loss Booked (CAD)</t>
        </is>
      </c>
      <c r="Y3" s="7" t="inlineStr">
        <is>
          <t>Ex_Rt</t>
        </is>
      </c>
      <c r="Z3" s="6" t="inlineStr">
        <is>
          <t>USD_Ind</t>
        </is>
      </c>
      <c r="AA3" s="6" t="inlineStr">
        <is>
          <t>Mkt_Val_Curr</t>
        </is>
      </c>
      <c r="AB3" s="6" t="inlineStr">
        <is>
          <t>Book_Value_CAD</t>
        </is>
      </c>
      <c r="AC3" s="6" t="inlineStr">
        <is>
          <t>MK_Val_CAD</t>
        </is>
      </c>
      <c r="AD3" s="6" t="inlineStr">
        <is>
          <t>Ret_Abs</t>
        </is>
      </c>
      <c r="AE3" s="6" t="inlineStr">
        <is>
          <t>Ret_CAD</t>
        </is>
      </c>
      <c r="AF3" s="6" t="inlineStr">
        <is>
          <t>%ge Return</t>
        </is>
      </c>
      <c r="AG3" s="6" t="inlineStr">
        <is>
          <t>Cash_CAD_Mk_Val_CAD</t>
        </is>
      </c>
      <c r="AH3" s="6" t="inlineStr">
        <is>
          <t>Stock_Eqv_USD</t>
        </is>
      </c>
    </row>
    <row r="4">
      <c r="A4" s="8" t="inlineStr">
        <is>
          <t>Date of snapshot</t>
        </is>
      </c>
      <c r="B4" s="8" t="inlineStr">
        <is>
          <t>Ticker (.NE = Canadian)</t>
        </is>
      </c>
      <c r="C4" s="8" t="inlineStr">
        <is>
          <t>Parent ticker</t>
        </is>
      </c>
      <c r="D4" s="8" t="inlineStr">
        <is>
          <t>Holder name</t>
        </is>
      </c>
      <c r="E4" s="8" t="inlineStr">
        <is>
          <t>DI / ET / WS</t>
        </is>
      </c>
      <c r="F4" s="8" t="inlineStr">
        <is>
          <t>Cash / TFSA / RSP / RESP</t>
        </is>
      </c>
      <c r="G4" s="8" t="inlineStr">
        <is>
          <t>CAD or USD</t>
        </is>
      </c>
      <c r="H4" s="8" t="inlineStr">
        <is>
          <t>Stock / Index / Cash</t>
        </is>
      </c>
      <c r="I4" s="8" t="inlineStr">
        <is>
          <t>Purchase date</t>
        </is>
      </c>
      <c r="J4" s="8" t="inlineStr">
        <is>
          <t>Sale date (sold only)</t>
        </is>
      </c>
      <c r="K4" s="8" t="inlineStr">
        <is>
          <t>Cash balance (orig curr)</t>
        </is>
      </c>
      <c r="L4" s="8" t="inlineStr">
        <is>
          <t>Cash equivalent (orig curr)</t>
        </is>
      </c>
      <c r="M4" s="8" t="inlineStr">
        <is>
          <t>Market value from brokerage</t>
        </is>
      </c>
      <c r="N4" s="9" t="inlineStr">
        <is>
          <t>MAX(Cash, Cash_Eqv)</t>
        </is>
      </c>
      <c r="O4" s="9" t="inlineStr">
        <is>
          <t>T_Cash x USD_Ind</t>
        </is>
      </c>
      <c r="P4" s="9" t="inlineStr">
        <is>
          <t>Units x Book_Pr_U</t>
        </is>
      </c>
      <c r="Q4" s="9" t="inlineStr">
        <is>
          <t>Sold_Units x Book_Pr_U</t>
        </is>
      </c>
      <c r="R4" s="8" t="inlineStr">
        <is>
          <t>Cost per unit (purchase price)</t>
        </is>
      </c>
      <c r="S4" s="8" t="inlineStr">
        <is>
          <t>Shares currently held</t>
        </is>
      </c>
      <c r="T4" s="8" t="inlineStr">
        <is>
          <t>Shares sold</t>
        </is>
      </c>
      <c r="U4" s="9" t="inlineStr">
        <is>
          <t>Sold_Units x Sold_Stock_Price</t>
        </is>
      </c>
      <c r="V4" s="8" t="inlineStr">
        <is>
          <t>Sale price per unit</t>
        </is>
      </c>
      <c r="W4" s="9" t="inlineStr">
        <is>
          <t>Sold_MV - BK_Cst_Sold</t>
        </is>
      </c>
      <c r="X4" s="9" t="inlineStr">
        <is>
          <t>P&amp;L(Curr) x USD_Ind</t>
        </is>
      </c>
      <c r="Y4" s="10" t="inlineStr">
        <is>
          <t>USD/CAD exchange rate</t>
        </is>
      </c>
      <c r="Z4" s="9" t="inlineStr">
        <is>
          <t>1 if CAD, else Ex_Rt</t>
        </is>
      </c>
      <c r="AA4" s="9" t="inlineStr">
        <is>
          <t>Mkt_Val</t>
        </is>
      </c>
      <c r="AB4" s="9" t="inlineStr">
        <is>
          <t>Book_P x USD_Ind</t>
        </is>
      </c>
      <c r="AC4" s="9" t="inlineStr">
        <is>
          <t>Mkt_Val x USD_Ind</t>
        </is>
      </c>
      <c r="AD4" s="9" t="inlineStr">
        <is>
          <t>Mkt_Val - Book_P</t>
        </is>
      </c>
      <c r="AE4" s="9" t="inlineStr">
        <is>
          <t>MK_Val_CAD - Book_Value_CAD</t>
        </is>
      </c>
      <c r="AF4" s="9" t="inlineStr">
        <is>
          <t>Ret_Abs / Book_P</t>
        </is>
      </c>
      <c r="AG4" s="9" t="inlineStr">
        <is>
          <t>MK_Val_CAD + T_Cash_Bal_In_CAD</t>
        </is>
      </c>
      <c r="AH4" s="9" t="inlineStr">
        <is>
          <t>Mkt_Val for USD holdings</t>
        </is>
      </c>
    </row>
    <row r="5">
      <c r="A5" s="11" t="inlineStr">
        <is>
          <t>06-15-2026</t>
        </is>
      </c>
      <c r="B5" s="11" t="inlineStr">
        <is>
          <t>zCash</t>
        </is>
      </c>
      <c r="C5" s="11" t="inlineStr">
        <is>
          <t>zCash</t>
        </is>
      </c>
      <c r="D5" s="11" t="inlineStr">
        <is>
          <t>Person A</t>
        </is>
      </c>
      <c r="E5" s="11" t="inlineStr">
        <is>
          <t>DI</t>
        </is>
      </c>
      <c r="F5" s="11" t="inlineStr">
        <is>
          <t>Cash</t>
        </is>
      </c>
      <c r="G5" s="11" t="inlineStr">
        <is>
          <t>CAD</t>
        </is>
      </c>
      <c r="H5" s="11" t="inlineStr">
        <is>
          <t>Cash</t>
        </is>
      </c>
      <c r="I5" s="11" t="n"/>
      <c r="J5" s="11" t="n"/>
      <c r="K5" s="11" t="n">
        <v>0</v>
      </c>
      <c r="L5" s="11" t="n">
        <v>10000</v>
      </c>
      <c r="M5" s="11" t="n"/>
      <c r="N5" s="12">
        <f>IFERROR(MAX(K5,L5),0)</f>
        <v/>
      </c>
      <c r="O5" s="12">
        <f>N5*Z5</f>
        <v/>
      </c>
      <c r="P5" s="12">
        <f>IFERROR(S5*R5,0)</f>
        <v/>
      </c>
      <c r="Q5" s="12">
        <f>IFERROR(T5*R5,0)</f>
        <v/>
      </c>
      <c r="R5" s="11" t="n"/>
      <c r="S5" s="11" t="n"/>
      <c r="T5" s="11" t="n"/>
      <c r="U5" s="12">
        <f>IFERROR(T5*V5,0)</f>
        <v/>
      </c>
      <c r="V5" s="11" t="n"/>
      <c r="W5" s="12">
        <f>IF(U5=0,"",U5-Q5)</f>
        <v/>
      </c>
      <c r="X5" s="12">
        <f>IF(W5="","",W5*Z5)</f>
        <v/>
      </c>
      <c r="Y5" s="13" t="n">
        <v>1.38</v>
      </c>
      <c r="Z5" s="12">
        <f>IF(G5="CAD",1,Y5)</f>
        <v/>
      </c>
      <c r="AA5" s="12">
        <f>M5</f>
        <v/>
      </c>
      <c r="AB5" s="12">
        <f>P5*Z5</f>
        <v/>
      </c>
      <c r="AC5" s="12">
        <f>IFERROR(M5*Z5,0)</f>
        <v/>
      </c>
      <c r="AD5" s="12">
        <f>IF(P5=0,"",M5-P5)</f>
        <v/>
      </c>
      <c r="AE5" s="12">
        <f>IF(AB5=0,"",AC5-AB5)</f>
        <v/>
      </c>
      <c r="AF5" s="14">
        <f>IF(P5=0,"",AD5/P5)</f>
        <v/>
      </c>
      <c r="AG5" s="12">
        <f>AC5+O5</f>
        <v/>
      </c>
      <c r="AH5" s="12">
        <f>IF(G5="USD",M5,"")</f>
        <v/>
      </c>
    </row>
    <row r="6">
      <c r="A6" s="11" t="inlineStr">
        <is>
          <t>06-15-2026</t>
        </is>
      </c>
      <c r="B6" s="11" t="inlineStr">
        <is>
          <t>AAPL</t>
        </is>
      </c>
      <c r="C6" s="11" t="inlineStr">
        <is>
          <t>AAPL</t>
        </is>
      </c>
      <c r="D6" s="11" t="inlineStr">
        <is>
          <t>Person A</t>
        </is>
      </c>
      <c r="E6" s="11" t="inlineStr">
        <is>
          <t>DI</t>
        </is>
      </c>
      <c r="F6" s="11" t="inlineStr">
        <is>
          <t>Cash</t>
        </is>
      </c>
      <c r="G6" s="11" t="inlineStr">
        <is>
          <t>USD</t>
        </is>
      </c>
      <c r="H6" s="11" t="inlineStr">
        <is>
          <t>Stock</t>
        </is>
      </c>
      <c r="I6" s="11" t="inlineStr">
        <is>
          <t>15-Jan-25</t>
        </is>
      </c>
      <c r="J6" s="11" t="n"/>
      <c r="K6" s="11" t="n">
        <v>0</v>
      </c>
      <c r="L6" s="11" t="n"/>
      <c r="M6" s="11" t="n">
        <v>12500</v>
      </c>
      <c r="N6" s="12">
        <f>IFERROR(MAX(K6,L6),0)</f>
        <v/>
      </c>
      <c r="O6" s="12">
        <f>N6*Z6</f>
        <v/>
      </c>
      <c r="P6" s="12">
        <f>IFERROR(S6*R6,0)</f>
        <v/>
      </c>
      <c r="Q6" s="12">
        <f>IFERROR(T6*R6,0)</f>
        <v/>
      </c>
      <c r="R6" s="11" t="n">
        <v>175</v>
      </c>
      <c r="S6" s="11" t="n">
        <v>50</v>
      </c>
      <c r="T6" s="11" t="n"/>
      <c r="U6" s="12">
        <f>IFERROR(T6*V6,0)</f>
        <v/>
      </c>
      <c r="V6" s="11" t="n"/>
      <c r="W6" s="12">
        <f>IF(U6=0,"",U6-Q6)</f>
        <v/>
      </c>
      <c r="X6" s="12">
        <f>IF(W6="","",W6*Z6)</f>
        <v/>
      </c>
      <c r="Y6" s="13" t="n">
        <v>1.38</v>
      </c>
      <c r="Z6" s="12">
        <f>IF(G6="CAD",1,Y6)</f>
        <v/>
      </c>
      <c r="AA6" s="12">
        <f>M6</f>
        <v/>
      </c>
      <c r="AB6" s="12">
        <f>P6*Z6</f>
        <v/>
      </c>
      <c r="AC6" s="12">
        <f>IFERROR(M6*Z6,0)</f>
        <v/>
      </c>
      <c r="AD6" s="12">
        <f>IF(P6=0,"",M6-P6)</f>
        <v/>
      </c>
      <c r="AE6" s="12">
        <f>IF(AB6=0,"",AC6-AB6)</f>
        <v/>
      </c>
      <c r="AF6" s="14">
        <f>IF(P6=0,"",AD6/P6)</f>
        <v/>
      </c>
      <c r="AG6" s="12">
        <f>AC6+O6</f>
        <v/>
      </c>
      <c r="AH6" s="12">
        <f>IF(G6="USD",M6,"")</f>
        <v/>
      </c>
    </row>
    <row r="7">
      <c r="A7" s="11" t="inlineStr">
        <is>
          <t>06-15-2026</t>
        </is>
      </c>
      <c r="B7" s="11" t="inlineStr">
        <is>
          <t>VDY.NE</t>
        </is>
      </c>
      <c r="C7" s="11" t="inlineStr">
        <is>
          <t>VDY</t>
        </is>
      </c>
      <c r="D7" s="11" t="inlineStr">
        <is>
          <t>Person A</t>
        </is>
      </c>
      <c r="E7" s="11" t="inlineStr">
        <is>
          <t>DI</t>
        </is>
      </c>
      <c r="F7" s="11" t="inlineStr">
        <is>
          <t>RSP</t>
        </is>
      </c>
      <c r="G7" s="11" t="inlineStr">
        <is>
          <t>CAD</t>
        </is>
      </c>
      <c r="H7" s="11" t="inlineStr">
        <is>
          <t>Index</t>
        </is>
      </c>
      <c r="I7" s="11" t="inlineStr">
        <is>
          <t>20-Feb-25</t>
        </is>
      </c>
      <c r="J7" s="11" t="n"/>
      <c r="K7" s="11" t="n">
        <v>0</v>
      </c>
      <c r="L7" s="11" t="n"/>
      <c r="M7" s="11" t="n">
        <v>15200</v>
      </c>
      <c r="N7" s="12">
        <f>IFERROR(MAX(K7,L7),0)</f>
        <v/>
      </c>
      <c r="O7" s="12">
        <f>N7*Z7</f>
        <v/>
      </c>
      <c r="P7" s="12">
        <f>IFERROR(S7*R7,0)</f>
        <v/>
      </c>
      <c r="Q7" s="12">
        <f>IFERROR(T7*R7,0)</f>
        <v/>
      </c>
      <c r="R7" s="11" t="n">
        <v>35</v>
      </c>
      <c r="S7" s="11" t="n">
        <v>400</v>
      </c>
      <c r="T7" s="11" t="n"/>
      <c r="U7" s="12">
        <f>IFERROR(T7*V7,0)</f>
        <v/>
      </c>
      <c r="V7" s="11" t="n"/>
      <c r="W7" s="12">
        <f>IF(U7=0,"",U7-Q7)</f>
        <v/>
      </c>
      <c r="X7" s="12">
        <f>IF(W7="","",W7*Z7)</f>
        <v/>
      </c>
      <c r="Y7" s="13" t="n">
        <v>1.38</v>
      </c>
      <c r="Z7" s="12">
        <f>IF(G7="CAD",1,Y7)</f>
        <v/>
      </c>
      <c r="AA7" s="12">
        <f>M7</f>
        <v/>
      </c>
      <c r="AB7" s="12">
        <f>P7*Z7</f>
        <v/>
      </c>
      <c r="AC7" s="12">
        <f>IFERROR(M7*Z7,0)</f>
        <v/>
      </c>
      <c r="AD7" s="12">
        <f>IF(P7=0,"",M7-P7)</f>
        <v/>
      </c>
      <c r="AE7" s="12">
        <f>IF(AB7=0,"",AC7-AB7)</f>
        <v/>
      </c>
      <c r="AF7" s="14">
        <f>IF(P7=0,"",AD7/P7)</f>
        <v/>
      </c>
      <c r="AG7" s="12">
        <f>AC7+O7</f>
        <v/>
      </c>
      <c r="AH7" s="12">
        <f>IF(G7="USD",M7,"")</f>
        <v/>
      </c>
    </row>
    <row r="8">
      <c r="A8" s="11" t="inlineStr">
        <is>
          <t>06-15-2026</t>
        </is>
      </c>
      <c r="B8" s="11" t="inlineStr">
        <is>
          <t>MSFT</t>
        </is>
      </c>
      <c r="C8" s="11" t="inlineStr">
        <is>
          <t>MSFT</t>
        </is>
      </c>
      <c r="D8" s="11" t="inlineStr">
        <is>
          <t>Person A</t>
        </is>
      </c>
      <c r="E8" s="11" t="inlineStr">
        <is>
          <t>ET</t>
        </is>
      </c>
      <c r="F8" s="11" t="inlineStr">
        <is>
          <t>TFSA</t>
        </is>
      </c>
      <c r="G8" s="11" t="inlineStr">
        <is>
          <t>USD</t>
        </is>
      </c>
      <c r="H8" s="11" t="inlineStr">
        <is>
          <t>Stock</t>
        </is>
      </c>
      <c r="I8" s="11" t="inlineStr">
        <is>
          <t>10-Mar-25</t>
        </is>
      </c>
      <c r="J8" s="11" t="n"/>
      <c r="K8" s="11" t="n">
        <v>0</v>
      </c>
      <c r="L8" s="11" t="n"/>
      <c r="M8" s="11" t="n">
        <v>8400</v>
      </c>
      <c r="N8" s="12">
        <f>IFERROR(MAX(K8,L8),0)</f>
        <v/>
      </c>
      <c r="O8" s="12">
        <f>N8*Z8</f>
        <v/>
      </c>
      <c r="P8" s="12">
        <f>IFERROR(S8*R8,0)</f>
        <v/>
      </c>
      <c r="Q8" s="12">
        <f>IFERROR(T8*R8,0)</f>
        <v/>
      </c>
      <c r="R8" s="11" t="n">
        <v>380</v>
      </c>
      <c r="S8" s="11" t="n">
        <v>20</v>
      </c>
      <c r="T8" s="11" t="n"/>
      <c r="U8" s="12">
        <f>IFERROR(T8*V8,0)</f>
        <v/>
      </c>
      <c r="V8" s="11" t="n"/>
      <c r="W8" s="12">
        <f>IF(U8=0,"",U8-Q8)</f>
        <v/>
      </c>
      <c r="X8" s="12">
        <f>IF(W8="","",W8*Z8)</f>
        <v/>
      </c>
      <c r="Y8" s="13" t="n">
        <v>1.38</v>
      </c>
      <c r="Z8" s="12">
        <f>IF(G8="CAD",1,Y8)</f>
        <v/>
      </c>
      <c r="AA8" s="12">
        <f>M8</f>
        <v/>
      </c>
      <c r="AB8" s="12">
        <f>P8*Z8</f>
        <v/>
      </c>
      <c r="AC8" s="12">
        <f>IFERROR(M8*Z8,0)</f>
        <v/>
      </c>
      <c r="AD8" s="12">
        <f>IF(P8=0,"",M8-P8)</f>
        <v/>
      </c>
      <c r="AE8" s="12">
        <f>IF(AB8=0,"",AC8-AB8)</f>
        <v/>
      </c>
      <c r="AF8" s="14">
        <f>IF(P8=0,"",AD8/P8)</f>
        <v/>
      </c>
      <c r="AG8" s="12">
        <f>AC8+O8</f>
        <v/>
      </c>
      <c r="AH8" s="12">
        <f>IF(G8="USD",M8,"")</f>
        <v/>
      </c>
    </row>
    <row r="9">
      <c r="A9" s="11" t="inlineStr">
        <is>
          <t>06-15-2026</t>
        </is>
      </c>
      <c r="B9" s="11" t="inlineStr">
        <is>
          <t>TSLA</t>
        </is>
      </c>
      <c r="C9" s="11" t="inlineStr">
        <is>
          <t>TSLA</t>
        </is>
      </c>
      <c r="D9" s="11" t="inlineStr">
        <is>
          <t>Person A</t>
        </is>
      </c>
      <c r="E9" s="11" t="inlineStr">
        <is>
          <t>DI</t>
        </is>
      </c>
      <c r="F9" s="11" t="inlineStr">
        <is>
          <t>Cash</t>
        </is>
      </c>
      <c r="G9" s="11" t="inlineStr">
        <is>
          <t>USD</t>
        </is>
      </c>
      <c r="H9" s="11" t="inlineStr">
        <is>
          <t>Stock</t>
        </is>
      </c>
      <c r="I9" s="11" t="inlineStr">
        <is>
          <t>05-Jan-25</t>
        </is>
      </c>
      <c r="J9" s="11" t="inlineStr">
        <is>
          <t>10-May-26</t>
        </is>
      </c>
      <c r="K9" s="11" t="n">
        <v>0</v>
      </c>
      <c r="L9" s="11" t="n"/>
      <c r="M9" s="11" t="n"/>
      <c r="N9" s="12">
        <f>IFERROR(MAX(K9,L9),0)</f>
        <v/>
      </c>
      <c r="O9" s="12">
        <f>N9*Z9</f>
        <v/>
      </c>
      <c r="P9" s="12">
        <f>IFERROR(S9*R9,0)</f>
        <v/>
      </c>
      <c r="Q9" s="12">
        <f>IFERROR(T9*R9,0)</f>
        <v/>
      </c>
      <c r="R9" s="11" t="n">
        <v>250</v>
      </c>
      <c r="S9" s="11" t="n"/>
      <c r="T9" s="11" t="n">
        <v>20</v>
      </c>
      <c r="U9" s="12">
        <f>IFERROR(T9*V9,0)</f>
        <v/>
      </c>
      <c r="V9" s="11" t="n">
        <v>310</v>
      </c>
      <c r="W9" s="12">
        <f>IF(U9=0,"",U9-Q9)</f>
        <v/>
      </c>
      <c r="X9" s="12">
        <f>IF(W9="","",W9*Z9)</f>
        <v/>
      </c>
      <c r="Y9" s="13" t="n">
        <v>1.38</v>
      </c>
      <c r="Z9" s="12">
        <f>IF(G9="CAD",1,Y9)</f>
        <v/>
      </c>
      <c r="AA9" s="12">
        <f>M9</f>
        <v/>
      </c>
      <c r="AB9" s="12">
        <f>P9*Z9</f>
        <v/>
      </c>
      <c r="AC9" s="12">
        <f>IFERROR(M9*Z9,0)</f>
        <v/>
      </c>
      <c r="AD9" s="12">
        <f>IF(P9=0,"",M9-P9)</f>
        <v/>
      </c>
      <c r="AE9" s="12">
        <f>IF(AB9=0,"",AC9-AB9)</f>
        <v/>
      </c>
      <c r="AF9" s="14">
        <f>IF(P9=0,"",AD9/P9)</f>
        <v/>
      </c>
      <c r="AG9" s="12">
        <f>AC9+O9</f>
        <v/>
      </c>
      <c r="AH9" s="12">
        <f>IF(G9="USD",M9,"")</f>
        <v/>
      </c>
    </row>
    <row r="10">
      <c r="A10" s="11" t="inlineStr">
        <is>
          <t>06-15-2026</t>
        </is>
      </c>
      <c r="B10" s="11" t="inlineStr">
        <is>
          <t>zCash</t>
        </is>
      </c>
      <c r="C10" s="11" t="inlineStr">
        <is>
          <t>zCash</t>
        </is>
      </c>
      <c r="D10" s="11" t="inlineStr">
        <is>
          <t>Person B</t>
        </is>
      </c>
      <c r="E10" s="11" t="inlineStr">
        <is>
          <t>ET</t>
        </is>
      </c>
      <c r="F10" s="11" t="inlineStr">
        <is>
          <t>RSP</t>
        </is>
      </c>
      <c r="G10" s="11" t="inlineStr">
        <is>
          <t>USD</t>
        </is>
      </c>
      <c r="H10" s="11" t="inlineStr">
        <is>
          <t>Cash</t>
        </is>
      </c>
      <c r="I10" s="11" t="n"/>
      <c r="J10" s="11" t="n"/>
      <c r="K10" s="11" t="n">
        <v>500</v>
      </c>
      <c r="L10" s="11" t="n"/>
      <c r="M10" s="11" t="n"/>
      <c r="N10" s="12">
        <f>IFERROR(MAX(K10,L10),0)</f>
        <v/>
      </c>
      <c r="O10" s="12">
        <f>N10*Z10</f>
        <v/>
      </c>
      <c r="P10" s="12">
        <f>IFERROR(S10*R10,0)</f>
        <v/>
      </c>
      <c r="Q10" s="12">
        <f>IFERROR(T10*R10,0)</f>
        <v/>
      </c>
      <c r="R10" s="11" t="n"/>
      <c r="S10" s="11" t="n"/>
      <c r="T10" s="11" t="n"/>
      <c r="U10" s="12">
        <f>IFERROR(T10*V10,0)</f>
        <v/>
      </c>
      <c r="V10" s="11" t="n"/>
      <c r="W10" s="12">
        <f>IF(U10=0,"",U10-Q10)</f>
        <v/>
      </c>
      <c r="X10" s="12">
        <f>IF(W10="","",W10*Z10)</f>
        <v/>
      </c>
      <c r="Y10" s="13" t="n">
        <v>1.38</v>
      </c>
      <c r="Z10" s="12">
        <f>IF(G10="CAD",1,Y10)</f>
        <v/>
      </c>
      <c r="AA10" s="12">
        <f>M10</f>
        <v/>
      </c>
      <c r="AB10" s="12">
        <f>P10*Z10</f>
        <v/>
      </c>
      <c r="AC10" s="12">
        <f>IFERROR(M10*Z10,0)</f>
        <v/>
      </c>
      <c r="AD10" s="12">
        <f>IF(P10=0,"",M10-P10)</f>
        <v/>
      </c>
      <c r="AE10" s="12">
        <f>IF(AB10=0,"",AC10-AB10)</f>
        <v/>
      </c>
      <c r="AF10" s="14">
        <f>IF(P10=0,"",AD10/P10)</f>
        <v/>
      </c>
      <c r="AG10" s="12">
        <f>AC10+O10</f>
        <v/>
      </c>
      <c r="AH10" s="12">
        <f>IF(G10="USD",M10,"")</f>
        <v/>
      </c>
    </row>
    <row r="11">
      <c r="A11" s="11" t="inlineStr">
        <is>
          <t>06-15-2026</t>
        </is>
      </c>
      <c r="B11" s="11" t="inlineStr">
        <is>
          <t>GOOGL</t>
        </is>
      </c>
      <c r="C11" s="11" t="inlineStr">
        <is>
          <t>GOOGL</t>
        </is>
      </c>
      <c r="D11" s="11" t="inlineStr">
        <is>
          <t>Person B</t>
        </is>
      </c>
      <c r="E11" s="11" t="inlineStr">
        <is>
          <t>ET</t>
        </is>
      </c>
      <c r="F11" s="11" t="inlineStr">
        <is>
          <t>Cash</t>
        </is>
      </c>
      <c r="G11" s="11" t="inlineStr">
        <is>
          <t>USD</t>
        </is>
      </c>
      <c r="H11" s="11" t="inlineStr">
        <is>
          <t>Stock</t>
        </is>
      </c>
      <c r="I11" s="11" t="inlineStr">
        <is>
          <t>12-Apr-25</t>
        </is>
      </c>
      <c r="J11" s="11" t="n"/>
      <c r="K11" s="11" t="n">
        <v>0</v>
      </c>
      <c r="L11" s="11" t="n"/>
      <c r="M11" s="11" t="n">
        <v>7000</v>
      </c>
      <c r="N11" s="12">
        <f>IFERROR(MAX(K11,L11),0)</f>
        <v/>
      </c>
      <c r="O11" s="12">
        <f>N11*Z11</f>
        <v/>
      </c>
      <c r="P11" s="12">
        <f>IFERROR(S11*R11,0)</f>
        <v/>
      </c>
      <c r="Q11" s="12">
        <f>IFERROR(T11*R11,0)</f>
        <v/>
      </c>
      <c r="R11" s="11" t="n">
        <v>140</v>
      </c>
      <c r="S11" s="11" t="n">
        <v>30</v>
      </c>
      <c r="T11" s="11" t="n"/>
      <c r="U11" s="12">
        <f>IFERROR(T11*V11,0)</f>
        <v/>
      </c>
      <c r="V11" s="11" t="n"/>
      <c r="W11" s="12">
        <f>IF(U11=0,"",U11-Q11)</f>
        <v/>
      </c>
      <c r="X11" s="12">
        <f>IF(W11="","",W11*Z11)</f>
        <v/>
      </c>
      <c r="Y11" s="13" t="n">
        <v>1.38</v>
      </c>
      <c r="Z11" s="12">
        <f>IF(G11="CAD",1,Y11)</f>
        <v/>
      </c>
      <c r="AA11" s="12">
        <f>M11</f>
        <v/>
      </c>
      <c r="AB11" s="12">
        <f>P11*Z11</f>
        <v/>
      </c>
      <c r="AC11" s="12">
        <f>IFERROR(M11*Z11,0)</f>
        <v/>
      </c>
      <c r="AD11" s="12">
        <f>IF(P11=0,"",M11-P11)</f>
        <v/>
      </c>
      <c r="AE11" s="12">
        <f>IF(AB11=0,"",AC11-AB11)</f>
        <v/>
      </c>
      <c r="AF11" s="14">
        <f>IF(P11=0,"",AD11/P11)</f>
        <v/>
      </c>
      <c r="AG11" s="12">
        <f>AC11+O11</f>
        <v/>
      </c>
      <c r="AH11" s="12">
        <f>IF(G11="USD",M11,"")</f>
        <v/>
      </c>
    </row>
    <row r="12">
      <c r="A12" s="11" t="inlineStr">
        <is>
          <t>06-15-2026</t>
        </is>
      </c>
      <c r="B12" s="11" t="inlineStr">
        <is>
          <t>AMZN</t>
        </is>
      </c>
      <c r="C12" s="11" t="inlineStr">
        <is>
          <t>AMZN</t>
        </is>
      </c>
      <c r="D12" s="11" t="inlineStr">
        <is>
          <t>Person B</t>
        </is>
      </c>
      <c r="E12" s="11" t="inlineStr">
        <is>
          <t>ET</t>
        </is>
      </c>
      <c r="F12" s="11" t="inlineStr">
        <is>
          <t>TFSA</t>
        </is>
      </c>
      <c r="G12" s="11" t="inlineStr">
        <is>
          <t>USD</t>
        </is>
      </c>
      <c r="H12" s="11" t="inlineStr">
        <is>
          <t>Stock</t>
        </is>
      </c>
      <c r="I12" s="11" t="inlineStr">
        <is>
          <t>01-Jun-25</t>
        </is>
      </c>
      <c r="J12" s="11" t="n"/>
      <c r="K12" s="11" t="n">
        <v>0</v>
      </c>
      <c r="L12" s="11" t="n"/>
      <c r="M12" s="11" t="n">
        <v>5400</v>
      </c>
      <c r="N12" s="12">
        <f>IFERROR(MAX(K12,L12),0)</f>
        <v/>
      </c>
      <c r="O12" s="12">
        <f>N12*Z12</f>
        <v/>
      </c>
      <c r="P12" s="12">
        <f>IFERROR(S12*R12,0)</f>
        <v/>
      </c>
      <c r="Q12" s="12">
        <f>IFERROR(T12*R12,0)</f>
        <v/>
      </c>
      <c r="R12" s="11" t="n">
        <v>192</v>
      </c>
      <c r="S12" s="11" t="n">
        <v>30</v>
      </c>
      <c r="T12" s="11" t="n"/>
      <c r="U12" s="12">
        <f>IFERROR(T12*V12,0)</f>
        <v/>
      </c>
      <c r="V12" s="11" t="n"/>
      <c r="W12" s="12">
        <f>IF(U12=0,"",U12-Q12)</f>
        <v/>
      </c>
      <c r="X12" s="12">
        <f>IF(W12="","",W12*Z12)</f>
        <v/>
      </c>
      <c r="Y12" s="13" t="n">
        <v>1.38</v>
      </c>
      <c r="Z12" s="12">
        <f>IF(G12="CAD",1,Y12)</f>
        <v/>
      </c>
      <c r="AA12" s="12">
        <f>M12</f>
        <v/>
      </c>
      <c r="AB12" s="12">
        <f>P12*Z12</f>
        <v/>
      </c>
      <c r="AC12" s="12">
        <f>IFERROR(M12*Z12,0)</f>
        <v/>
      </c>
      <c r="AD12" s="12">
        <f>IF(P12=0,"",M12-P12)</f>
        <v/>
      </c>
      <c r="AE12" s="12">
        <f>IF(AB12=0,"",AC12-AB12)</f>
        <v/>
      </c>
      <c r="AF12" s="14">
        <f>IF(P12=0,"",AD12/P12)</f>
        <v/>
      </c>
      <c r="AG12" s="12">
        <f>AC12+O12</f>
        <v/>
      </c>
      <c r="AH12" s="12">
        <f>IF(G12="USD",M12,"")</f>
        <v/>
      </c>
    </row>
    <row r="13">
      <c r="A13" s="11" t="inlineStr">
        <is>
          <t>06-15-2026</t>
        </is>
      </c>
      <c r="B13" s="11" t="inlineStr">
        <is>
          <t>XIU.NE</t>
        </is>
      </c>
      <c r="C13" s="11" t="inlineStr">
        <is>
          <t>XIU</t>
        </is>
      </c>
      <c r="D13" s="11" t="inlineStr">
        <is>
          <t>Person B</t>
        </is>
      </c>
      <c r="E13" s="11" t="inlineStr">
        <is>
          <t>DI</t>
        </is>
      </c>
      <c r="F13" s="11" t="inlineStr">
        <is>
          <t>RESP</t>
        </is>
      </c>
      <c r="G13" s="11" t="inlineStr">
        <is>
          <t>CAD</t>
        </is>
      </c>
      <c r="H13" s="11" t="inlineStr">
        <is>
          <t>Index</t>
        </is>
      </c>
      <c r="I13" s="11" t="inlineStr">
        <is>
          <t>15-May-25</t>
        </is>
      </c>
      <c r="J13" s="11" t="n"/>
      <c r="K13" s="11" t="n">
        <v>0</v>
      </c>
      <c r="L13" s="11" t="n"/>
      <c r="M13" s="11" t="n">
        <v>6600</v>
      </c>
      <c r="N13" s="12">
        <f>IFERROR(MAX(K13,L13),0)</f>
        <v/>
      </c>
      <c r="O13" s="12">
        <f>N13*Z13</f>
        <v/>
      </c>
      <c r="P13" s="12">
        <f>IFERROR(S13*R13,0)</f>
        <v/>
      </c>
      <c r="Q13" s="12">
        <f>IFERROR(T13*R13,0)</f>
        <v/>
      </c>
      <c r="R13" s="11" t="n">
        <v>27.5</v>
      </c>
      <c r="S13" s="11" t="n">
        <v>200</v>
      </c>
      <c r="T13" s="11" t="n"/>
      <c r="U13" s="12">
        <f>IFERROR(T13*V13,0)</f>
        <v/>
      </c>
      <c r="V13" s="11" t="n"/>
      <c r="W13" s="12">
        <f>IF(U13=0,"",U13-Q13)</f>
        <v/>
      </c>
      <c r="X13" s="12">
        <f>IF(W13="","",W13*Z13)</f>
        <v/>
      </c>
      <c r="Y13" s="13" t="n">
        <v>1.38</v>
      </c>
      <c r="Z13" s="12">
        <f>IF(G13="CAD",1,Y13)</f>
        <v/>
      </c>
      <c r="AA13" s="12">
        <f>M13</f>
        <v/>
      </c>
      <c r="AB13" s="12">
        <f>P13*Z13</f>
        <v/>
      </c>
      <c r="AC13" s="12">
        <f>IFERROR(M13*Z13,0)</f>
        <v/>
      </c>
      <c r="AD13" s="12">
        <f>IF(P13=0,"",M13-P13)</f>
        <v/>
      </c>
      <c r="AE13" s="12">
        <f>IF(AB13=0,"",AC13-AB13)</f>
        <v/>
      </c>
      <c r="AF13" s="14">
        <f>IF(P13=0,"",AD13/P13)</f>
        <v/>
      </c>
      <c r="AG13" s="12">
        <f>AC13+O13</f>
        <v/>
      </c>
      <c r="AH13" s="12">
        <f>IF(G13="USD",M13,"")</f>
        <v/>
      </c>
    </row>
    <row r="14">
      <c r="A14" s="11" t="inlineStr">
        <is>
          <t>06-15-2026</t>
        </is>
      </c>
      <c r="B14" s="11" t="inlineStr">
        <is>
          <t>zCash</t>
        </is>
      </c>
      <c r="C14" s="11" t="inlineStr">
        <is>
          <t>zCash</t>
        </is>
      </c>
      <c r="D14" s="11" t="inlineStr">
        <is>
          <t>Person B</t>
        </is>
      </c>
      <c r="E14" s="11" t="inlineStr">
        <is>
          <t>DI</t>
        </is>
      </c>
      <c r="F14" s="11" t="inlineStr">
        <is>
          <t>RESP</t>
        </is>
      </c>
      <c r="G14" s="11" t="inlineStr">
        <is>
          <t>CAD</t>
        </is>
      </c>
      <c r="H14" s="11" t="inlineStr">
        <is>
          <t>Cash</t>
        </is>
      </c>
      <c r="I14" s="11" t="n"/>
      <c r="J14" s="11" t="n"/>
      <c r="K14" s="11" t="n">
        <v>0</v>
      </c>
      <c r="L14" s="11" t="n">
        <v>2500</v>
      </c>
      <c r="M14" s="11" t="n"/>
      <c r="N14" s="12">
        <f>IFERROR(MAX(K14,L14),0)</f>
        <v/>
      </c>
      <c r="O14" s="12">
        <f>N14*Z14</f>
        <v/>
      </c>
      <c r="P14" s="12">
        <f>IFERROR(S14*R14,0)</f>
        <v/>
      </c>
      <c r="Q14" s="12">
        <f>IFERROR(T14*R14,0)</f>
        <v/>
      </c>
      <c r="R14" s="11" t="n"/>
      <c r="S14" s="11" t="n"/>
      <c r="T14" s="11" t="n"/>
      <c r="U14" s="12">
        <f>IFERROR(T14*V14,0)</f>
        <v/>
      </c>
      <c r="V14" s="11" t="n"/>
      <c r="W14" s="12">
        <f>IF(U14=0,"",U14-Q14)</f>
        <v/>
      </c>
      <c r="X14" s="12">
        <f>IF(W14="","",W14*Z14)</f>
        <v/>
      </c>
      <c r="Y14" s="13" t="n">
        <v>1.38</v>
      </c>
      <c r="Z14" s="12">
        <f>IF(G14="CAD",1,Y14)</f>
        <v/>
      </c>
      <c r="AA14" s="12">
        <f>M14</f>
        <v/>
      </c>
      <c r="AB14" s="12">
        <f>P14*Z14</f>
        <v/>
      </c>
      <c r="AC14" s="12">
        <f>IFERROR(M14*Z14,0)</f>
        <v/>
      </c>
      <c r="AD14" s="12">
        <f>IF(P14=0,"",M14-P14)</f>
        <v/>
      </c>
      <c r="AE14" s="12">
        <f>IF(AB14=0,"",AC14-AB14)</f>
        <v/>
      </c>
      <c r="AF14" s="14">
        <f>IF(P14=0,"",AD14/P14)</f>
        <v/>
      </c>
      <c r="AG14" s="12">
        <f>AC14+O14</f>
        <v/>
      </c>
      <c r="AH14" s="12">
        <f>IF(G14="USD",M14,"")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2026-06-23T17:52:03Z</dcterms:created>
  <dcterms:modified xmlns:dcterms="http://purl.org/dc/terms/" xmlns:xsi="http://www.w3.org/2001/XMLSchema-instance" xsi:type="dcterms:W3CDTF">2026-06-23T17:52:03Z</dcterms:modified>
</cp:coreProperties>
</file>